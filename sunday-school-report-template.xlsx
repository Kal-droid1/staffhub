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 7010\Documents\"/>
    </mc:Choice>
  </mc:AlternateContent>
  <bookViews>
    <workbookView xWindow="0" yWindow="0" windowWidth="19170" windowHeight="10860"/>
  </bookViews>
  <sheets>
    <sheet name="July 2026" sheetId="13" r:id="rId1"/>
    <sheet name="August 2026" sheetId="14" r:id="rId2"/>
    <sheet name="September 2026" sheetId="15" r:id="rId3"/>
    <sheet name="October 2026" sheetId="17" r:id="rId4"/>
    <sheet name="November 2026" sheetId="16" r:id="rId5"/>
    <sheet name="December 2026" sheetId="18" r:id="rId6"/>
    <sheet name="January2027" sheetId="19" r:id="rId7"/>
    <sheet name="Febuary 2027" sheetId="20" r:id="rId8"/>
    <sheet name="March 2027" sheetId="21" r:id="rId9"/>
    <sheet name="April 2027" sheetId="22" r:id="rId10"/>
    <sheet name="May 2027" sheetId="23" r:id="rId11"/>
    <sheet name="June 2027" sheetId="2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7" i="16" l="1"/>
  <c r="H218" i="16" s="1"/>
  <c r="I217" i="16"/>
  <c r="I218" i="16" s="1"/>
  <c r="J217" i="16"/>
  <c r="J218" i="16" s="1"/>
  <c r="K217" i="16"/>
  <c r="K218" i="16" s="1"/>
  <c r="L223" i="17" l="1"/>
  <c r="M103" i="15" l="1"/>
  <c r="H224" i="23" l="1"/>
  <c r="H225" i="23" s="1"/>
  <c r="I224" i="23"/>
  <c r="I225" i="23" s="1"/>
  <c r="J224" i="23"/>
  <c r="J225" i="23" s="1"/>
  <c r="K224" i="23"/>
  <c r="K225" i="23" s="1"/>
  <c r="H211" i="22" l="1"/>
  <c r="I211" i="22"/>
  <c r="L211" i="22"/>
  <c r="L212" i="22" s="1"/>
  <c r="K211" i="22"/>
  <c r="J211" i="22"/>
  <c r="L211" i="21" l="1"/>
  <c r="K211" i="21"/>
  <c r="J211" i="21"/>
  <c r="I211" i="21"/>
  <c r="H211" i="21"/>
  <c r="L242" i="20" l="1"/>
  <c r="L243" i="20" s="1"/>
  <c r="K242" i="20"/>
  <c r="K243" i="20" s="1"/>
  <c r="J242" i="20"/>
  <c r="J243" i="20" s="1"/>
  <c r="I242" i="20"/>
  <c r="I243" i="20" s="1"/>
  <c r="H242" i="20"/>
  <c r="H243" i="20" s="1"/>
  <c r="M241" i="20"/>
  <c r="M240" i="20"/>
  <c r="M239" i="20"/>
  <c r="M238" i="20"/>
  <c r="M237" i="20"/>
  <c r="M236" i="20"/>
  <c r="M235" i="20"/>
  <c r="M234" i="20"/>
  <c r="M233" i="20"/>
  <c r="M232" i="20"/>
  <c r="M231" i="20"/>
  <c r="M230" i="20"/>
  <c r="M229" i="20"/>
  <c r="M228" i="20"/>
  <c r="M227" i="20"/>
  <c r="M226" i="20"/>
  <c r="M225" i="20"/>
  <c r="M224" i="20"/>
  <c r="M223" i="20"/>
  <c r="M222" i="20"/>
  <c r="M221" i="20"/>
  <c r="M220" i="20"/>
  <c r="M219" i="20"/>
  <c r="M218" i="20"/>
  <c r="M217" i="20"/>
  <c r="M216" i="20"/>
  <c r="M215" i="20"/>
  <c r="M214" i="20"/>
  <c r="M213" i="20"/>
  <c r="M212" i="20"/>
  <c r="M211" i="20"/>
  <c r="M210" i="20"/>
  <c r="M209" i="20"/>
  <c r="M208" i="20"/>
  <c r="M207" i="20"/>
  <c r="M206" i="20"/>
  <c r="M205" i="20"/>
  <c r="M204" i="20"/>
  <c r="M203" i="20"/>
  <c r="M202" i="20"/>
  <c r="M201" i="20"/>
  <c r="M200" i="20"/>
  <c r="M199" i="20"/>
  <c r="M198" i="20"/>
  <c r="M197" i="20"/>
  <c r="M196" i="20"/>
  <c r="M195" i="20"/>
  <c r="M194" i="20"/>
  <c r="M193" i="20"/>
  <c r="M192" i="20"/>
  <c r="M191" i="20"/>
  <c r="M190" i="20"/>
  <c r="M189" i="20"/>
  <c r="M188" i="20"/>
  <c r="M187" i="20"/>
  <c r="M186" i="20"/>
  <c r="M185" i="20"/>
  <c r="M184" i="20"/>
  <c r="M183" i="20"/>
  <c r="M182" i="20"/>
  <c r="M181" i="20"/>
  <c r="M180" i="20"/>
  <c r="M179" i="20"/>
  <c r="M178" i="20"/>
  <c r="M177" i="20"/>
  <c r="M176" i="20"/>
  <c r="M175" i="20"/>
  <c r="M174" i="20"/>
  <c r="M173" i="20"/>
  <c r="M172" i="20"/>
  <c r="M171" i="20"/>
  <c r="M170" i="20"/>
  <c r="M169" i="20"/>
  <c r="M168" i="20"/>
  <c r="M167" i="20"/>
  <c r="M166" i="20"/>
  <c r="M165" i="20"/>
  <c r="M164" i="20"/>
  <c r="M163" i="20"/>
  <c r="M162" i="20"/>
  <c r="M161" i="20"/>
  <c r="M160" i="20"/>
  <c r="M159" i="20"/>
  <c r="M158" i="20"/>
  <c r="M157" i="20"/>
  <c r="M156" i="20"/>
  <c r="M155" i="20"/>
  <c r="M154" i="20"/>
  <c r="M153" i="20"/>
  <c r="M152" i="20"/>
  <c r="M151" i="20"/>
  <c r="M150" i="20"/>
  <c r="M149" i="20"/>
  <c r="M148" i="20"/>
  <c r="M147" i="20"/>
  <c r="M146" i="20"/>
  <c r="M145" i="20"/>
  <c r="M144" i="20"/>
  <c r="M143" i="20"/>
  <c r="M142" i="20"/>
  <c r="M141" i="20"/>
  <c r="M140" i="20"/>
  <c r="M139" i="20"/>
  <c r="M138" i="20"/>
  <c r="M137" i="20"/>
  <c r="M136" i="20"/>
  <c r="M135" i="20"/>
  <c r="M134" i="20"/>
  <c r="M133" i="20"/>
  <c r="M132" i="20"/>
  <c r="M131" i="20"/>
  <c r="M130" i="20"/>
  <c r="M129" i="20"/>
  <c r="M128" i="20"/>
  <c r="M127" i="20"/>
  <c r="M126" i="20"/>
  <c r="M125" i="20"/>
  <c r="M124" i="20"/>
  <c r="M123" i="20"/>
  <c r="M122" i="20"/>
  <c r="M121" i="20"/>
  <c r="M120" i="20"/>
  <c r="M119" i="20"/>
  <c r="M118" i="20"/>
  <c r="M117" i="20"/>
  <c r="M116" i="20"/>
  <c r="M115" i="20"/>
  <c r="M114" i="20"/>
  <c r="M113" i="20"/>
  <c r="M112" i="20"/>
  <c r="M111" i="20"/>
  <c r="M110" i="20"/>
  <c r="M109" i="20"/>
  <c r="M108" i="20"/>
  <c r="M107" i="20"/>
  <c r="M106" i="20"/>
  <c r="M105" i="20"/>
  <c r="M104" i="20"/>
  <c r="M103" i="20"/>
  <c r="M102" i="20"/>
  <c r="M101" i="20"/>
  <c r="M100" i="20"/>
  <c r="M99" i="20"/>
  <c r="M98" i="20"/>
  <c r="M97" i="20"/>
  <c r="M96" i="20"/>
  <c r="M95" i="20"/>
  <c r="M94" i="20"/>
  <c r="M93" i="20"/>
  <c r="M92" i="20"/>
  <c r="M91" i="20"/>
  <c r="M90" i="20"/>
  <c r="M89" i="20"/>
  <c r="M88" i="20"/>
  <c r="M87" i="20"/>
  <c r="M86" i="20"/>
  <c r="M85" i="20"/>
  <c r="M84" i="20"/>
  <c r="M83" i="20"/>
  <c r="M82" i="20"/>
  <c r="M81" i="20"/>
  <c r="M80" i="20"/>
  <c r="M79" i="20"/>
  <c r="M78" i="20"/>
  <c r="M77" i="20"/>
  <c r="M76" i="20"/>
  <c r="M75" i="20"/>
  <c r="M74" i="20"/>
  <c r="M73" i="20"/>
  <c r="M72" i="20"/>
  <c r="M71" i="20"/>
  <c r="M70" i="20"/>
  <c r="M69" i="20"/>
  <c r="M68" i="20"/>
  <c r="M67" i="20"/>
  <c r="M66" i="20"/>
  <c r="M65" i="20"/>
  <c r="M64" i="20"/>
  <c r="M63" i="20"/>
  <c r="M62" i="20"/>
  <c r="M61" i="20"/>
  <c r="M60" i="20"/>
  <c r="M59" i="20"/>
  <c r="M58" i="20"/>
  <c r="M57" i="20"/>
  <c r="M56" i="20"/>
  <c r="M55" i="20"/>
  <c r="M54" i="20"/>
  <c r="M53" i="20"/>
  <c r="M52" i="20"/>
  <c r="M51" i="20"/>
  <c r="M50" i="20"/>
  <c r="M49" i="20"/>
  <c r="M48" i="20"/>
  <c r="M47" i="20"/>
  <c r="M46" i="20"/>
  <c r="M45" i="20"/>
  <c r="M44" i="20"/>
  <c r="M43" i="20"/>
  <c r="M42" i="20"/>
  <c r="M41" i="20"/>
  <c r="M40" i="20"/>
  <c r="M39" i="20"/>
  <c r="M38" i="20"/>
  <c r="M37" i="20"/>
  <c r="M36" i="20"/>
  <c r="M35" i="20"/>
  <c r="M34" i="20"/>
  <c r="M33" i="20"/>
  <c r="M32" i="20"/>
  <c r="M31" i="20"/>
  <c r="M30" i="20"/>
  <c r="M29" i="20"/>
  <c r="M28" i="20"/>
  <c r="M27" i="20"/>
  <c r="M26" i="20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M11" i="20"/>
  <c r="H211" i="19"/>
  <c r="H212" i="19" l="1"/>
  <c r="H222" i="15" l="1"/>
  <c r="H223" i="15" s="1"/>
  <c r="L258" i="24" l="1"/>
  <c r="K258" i="24"/>
  <c r="K259" i="24" s="1"/>
  <c r="J258" i="24"/>
  <c r="J259" i="24" s="1"/>
  <c r="I258" i="24"/>
  <c r="I259" i="24" s="1"/>
  <c r="H258" i="24"/>
  <c r="H259" i="24" s="1"/>
  <c r="M257" i="24"/>
  <c r="M256" i="24"/>
  <c r="M255" i="24"/>
  <c r="M254" i="24"/>
  <c r="M253" i="24"/>
  <c r="M252" i="24"/>
  <c r="M251" i="24"/>
  <c r="M250" i="24"/>
  <c r="M249" i="24"/>
  <c r="M248" i="24"/>
  <c r="M247" i="24"/>
  <c r="M246" i="24"/>
  <c r="M245" i="24"/>
  <c r="M244" i="24"/>
  <c r="M243" i="24"/>
  <c r="M242" i="24"/>
  <c r="M241" i="24"/>
  <c r="M240" i="24"/>
  <c r="M239" i="24"/>
  <c r="M238" i="24"/>
  <c r="M237" i="24"/>
  <c r="M236" i="24"/>
  <c r="M235" i="24"/>
  <c r="M234" i="24"/>
  <c r="M233" i="24"/>
  <c r="M232" i="24"/>
  <c r="M231" i="24"/>
  <c r="M230" i="24"/>
  <c r="M229" i="24"/>
  <c r="M228" i="24"/>
  <c r="M227" i="24"/>
  <c r="M226" i="24"/>
  <c r="M225" i="24"/>
  <c r="M224" i="24"/>
  <c r="M223" i="24"/>
  <c r="M222" i="24"/>
  <c r="M221" i="24"/>
  <c r="M220" i="24"/>
  <c r="M219" i="24"/>
  <c r="M218" i="24"/>
  <c r="M217" i="24"/>
  <c r="M216" i="24"/>
  <c r="M215" i="24"/>
  <c r="M214" i="24"/>
  <c r="M213" i="24"/>
  <c r="M212" i="24"/>
  <c r="M211" i="24"/>
  <c r="M210" i="24"/>
  <c r="M209" i="24"/>
  <c r="M208" i="24"/>
  <c r="M207" i="24"/>
  <c r="M206" i="24"/>
  <c r="M205" i="24"/>
  <c r="M204" i="24"/>
  <c r="M203" i="24"/>
  <c r="M202" i="24"/>
  <c r="M201" i="24"/>
  <c r="M200" i="24"/>
  <c r="M199" i="24"/>
  <c r="M198" i="24"/>
  <c r="M197" i="24"/>
  <c r="M196" i="24"/>
  <c r="M195" i="24"/>
  <c r="M194" i="24"/>
  <c r="M193" i="24"/>
  <c r="M192" i="24"/>
  <c r="M191" i="24"/>
  <c r="M190" i="24"/>
  <c r="M189" i="24"/>
  <c r="M188" i="24"/>
  <c r="M187" i="24"/>
  <c r="M186" i="24"/>
  <c r="M185" i="24"/>
  <c r="M184" i="24"/>
  <c r="M183" i="24"/>
  <c r="M182" i="24"/>
  <c r="M181" i="24"/>
  <c r="M180" i="24"/>
  <c r="M179" i="24"/>
  <c r="M178" i="24"/>
  <c r="M177" i="24"/>
  <c r="M176" i="24"/>
  <c r="M175" i="24"/>
  <c r="M174" i="24"/>
  <c r="M173" i="24"/>
  <c r="M172" i="24"/>
  <c r="M171" i="24"/>
  <c r="M170" i="24"/>
  <c r="M169" i="24"/>
  <c r="M168" i="24"/>
  <c r="M167" i="24"/>
  <c r="M166" i="24"/>
  <c r="M165" i="24"/>
  <c r="M164" i="24"/>
  <c r="M163" i="24"/>
  <c r="M162" i="24"/>
  <c r="M161" i="24"/>
  <c r="M160" i="24"/>
  <c r="M159" i="24"/>
  <c r="M158" i="24"/>
  <c r="M157" i="24"/>
  <c r="M156" i="24"/>
  <c r="M155" i="24"/>
  <c r="M154" i="24"/>
  <c r="M153" i="24"/>
  <c r="M152" i="24"/>
  <c r="M151" i="24"/>
  <c r="M150" i="24"/>
  <c r="M149" i="24"/>
  <c r="M148" i="24"/>
  <c r="M147" i="24"/>
  <c r="M146" i="24"/>
  <c r="M145" i="24"/>
  <c r="M144" i="24"/>
  <c r="M143" i="24"/>
  <c r="M142" i="24"/>
  <c r="M141" i="24"/>
  <c r="M140" i="24"/>
  <c r="M139" i="24"/>
  <c r="M138" i="24"/>
  <c r="M137" i="24"/>
  <c r="M136" i="24"/>
  <c r="M135" i="24"/>
  <c r="M134" i="24"/>
  <c r="M133" i="24"/>
  <c r="M132" i="24"/>
  <c r="M131" i="24"/>
  <c r="M130" i="24"/>
  <c r="M129" i="24"/>
  <c r="M128" i="24"/>
  <c r="M127" i="24"/>
  <c r="M126" i="24"/>
  <c r="M125" i="24"/>
  <c r="M124" i="24"/>
  <c r="M123" i="24"/>
  <c r="M122" i="24"/>
  <c r="M121" i="24"/>
  <c r="M120" i="24"/>
  <c r="M119" i="24"/>
  <c r="M118" i="24"/>
  <c r="M117" i="24"/>
  <c r="M116" i="24"/>
  <c r="M115" i="24"/>
  <c r="M114" i="24"/>
  <c r="M113" i="24"/>
  <c r="M112" i="24"/>
  <c r="M111" i="24"/>
  <c r="M110" i="24"/>
  <c r="M109" i="24"/>
  <c r="M108" i="24"/>
  <c r="M107" i="24"/>
  <c r="M106" i="24"/>
  <c r="M105" i="24"/>
  <c r="M104" i="24"/>
  <c r="M103" i="24"/>
  <c r="M102" i="24"/>
  <c r="M101" i="24"/>
  <c r="M100" i="24"/>
  <c r="M99" i="24"/>
  <c r="M98" i="24"/>
  <c r="M97" i="24"/>
  <c r="M96" i="24"/>
  <c r="M95" i="24"/>
  <c r="M94" i="24"/>
  <c r="M93" i="24"/>
  <c r="M92" i="24"/>
  <c r="M91" i="24"/>
  <c r="M90" i="24"/>
  <c r="M89" i="24"/>
  <c r="M88" i="24"/>
  <c r="M87" i="24"/>
  <c r="M86" i="24"/>
  <c r="M85" i="24"/>
  <c r="M84" i="24"/>
  <c r="M83" i="24"/>
  <c r="M82" i="24"/>
  <c r="M81" i="24"/>
  <c r="M80" i="24"/>
  <c r="M79" i="24"/>
  <c r="M78" i="24"/>
  <c r="M77" i="24"/>
  <c r="M76" i="24"/>
  <c r="M75" i="24"/>
  <c r="M74" i="24"/>
  <c r="M73" i="24"/>
  <c r="M72" i="24"/>
  <c r="M71" i="24"/>
  <c r="M70" i="24"/>
  <c r="M69" i="24"/>
  <c r="M68" i="24"/>
  <c r="M67" i="24"/>
  <c r="M66" i="24"/>
  <c r="M65" i="24"/>
  <c r="M64" i="24"/>
  <c r="M63" i="24"/>
  <c r="M62" i="24"/>
  <c r="M61" i="24"/>
  <c r="M60" i="24"/>
  <c r="M59" i="24"/>
  <c r="M58" i="24"/>
  <c r="M57" i="24"/>
  <c r="M56" i="24"/>
  <c r="M55" i="24"/>
  <c r="M54" i="24"/>
  <c r="M53" i="24"/>
  <c r="M52" i="24"/>
  <c r="M51" i="24"/>
  <c r="M50" i="24"/>
  <c r="M49" i="24"/>
  <c r="M48" i="24"/>
  <c r="M47" i="24"/>
  <c r="M46" i="24"/>
  <c r="M45" i="24"/>
  <c r="M44" i="24"/>
  <c r="M43" i="24"/>
  <c r="M42" i="24"/>
  <c r="M41" i="24"/>
  <c r="M40" i="24"/>
  <c r="M39" i="24"/>
  <c r="M38" i="24"/>
  <c r="M37" i="24"/>
  <c r="M36" i="24"/>
  <c r="M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1" i="24"/>
  <c r="L224" i="23"/>
  <c r="M223" i="23"/>
  <c r="M222" i="23"/>
  <c r="M221" i="23"/>
  <c r="M220" i="23"/>
  <c r="M219" i="23"/>
  <c r="M218" i="23"/>
  <c r="M217" i="23"/>
  <c r="M216" i="23"/>
  <c r="M215" i="23"/>
  <c r="M214" i="23"/>
  <c r="M213" i="23"/>
  <c r="M212" i="23"/>
  <c r="M211" i="23"/>
  <c r="M210" i="23"/>
  <c r="M209" i="23"/>
  <c r="M208" i="23"/>
  <c r="M207" i="23"/>
  <c r="M206" i="23"/>
  <c r="M205" i="23"/>
  <c r="M204" i="23"/>
  <c r="M203" i="23"/>
  <c r="M202" i="23"/>
  <c r="M201" i="23"/>
  <c r="M200" i="23"/>
  <c r="M199" i="23"/>
  <c r="M198" i="23"/>
  <c r="M197" i="23"/>
  <c r="M196" i="23"/>
  <c r="M195" i="23"/>
  <c r="M194" i="23"/>
  <c r="M193" i="23"/>
  <c r="M192" i="23"/>
  <c r="M191" i="23"/>
  <c r="M190" i="23"/>
  <c r="M189" i="23"/>
  <c r="M188" i="23"/>
  <c r="M187" i="23"/>
  <c r="M186" i="23"/>
  <c r="M185" i="23"/>
  <c r="M184" i="23"/>
  <c r="M183" i="23"/>
  <c r="M182" i="23"/>
  <c r="M181" i="23"/>
  <c r="M180" i="23"/>
  <c r="M179" i="23"/>
  <c r="M178" i="23"/>
  <c r="M177" i="23"/>
  <c r="M176" i="23"/>
  <c r="M175" i="23"/>
  <c r="M174" i="23"/>
  <c r="M173" i="23"/>
  <c r="M172" i="23"/>
  <c r="M171" i="23"/>
  <c r="M170" i="23"/>
  <c r="M169" i="23"/>
  <c r="M168" i="23"/>
  <c r="M167" i="23"/>
  <c r="M166" i="23"/>
  <c r="M165" i="23"/>
  <c r="M164" i="23"/>
  <c r="M163" i="23"/>
  <c r="M162" i="23"/>
  <c r="M161" i="23"/>
  <c r="M160" i="23"/>
  <c r="M159" i="23"/>
  <c r="M158" i="23"/>
  <c r="M157" i="23"/>
  <c r="M156" i="23"/>
  <c r="M155" i="23"/>
  <c r="M154" i="23"/>
  <c r="M153" i="23"/>
  <c r="M152" i="23"/>
  <c r="M151" i="23"/>
  <c r="M150" i="23"/>
  <c r="M149" i="23"/>
  <c r="M148" i="23"/>
  <c r="M147" i="23"/>
  <c r="M146" i="23"/>
  <c r="M145" i="23"/>
  <c r="M144" i="23"/>
  <c r="M143" i="23"/>
  <c r="M142" i="23"/>
  <c r="M141" i="23"/>
  <c r="M140" i="23"/>
  <c r="M139" i="23"/>
  <c r="M138" i="23"/>
  <c r="M137" i="23"/>
  <c r="M136" i="23"/>
  <c r="M135" i="23"/>
  <c r="M134" i="23"/>
  <c r="M133" i="23"/>
  <c r="M132" i="23"/>
  <c r="M131" i="23"/>
  <c r="M130" i="23"/>
  <c r="M129" i="23"/>
  <c r="M128" i="23"/>
  <c r="M127" i="23"/>
  <c r="M126" i="23"/>
  <c r="M125" i="23"/>
  <c r="M124" i="23"/>
  <c r="M123" i="23"/>
  <c r="M122" i="23"/>
  <c r="M121" i="23"/>
  <c r="M120" i="23"/>
  <c r="M119" i="23"/>
  <c r="M118" i="23"/>
  <c r="M117" i="23"/>
  <c r="M116" i="23"/>
  <c r="M115" i="23"/>
  <c r="M114" i="23"/>
  <c r="M113" i="23"/>
  <c r="M112" i="23"/>
  <c r="M111" i="23"/>
  <c r="M110" i="23"/>
  <c r="M109" i="23"/>
  <c r="M108" i="23"/>
  <c r="M107" i="23"/>
  <c r="M106" i="23"/>
  <c r="M105" i="23"/>
  <c r="M104" i="23"/>
  <c r="M103" i="23"/>
  <c r="M102" i="23"/>
  <c r="M101" i="23"/>
  <c r="M100" i="23"/>
  <c r="M99" i="23"/>
  <c r="M98" i="23"/>
  <c r="M97" i="23"/>
  <c r="M96" i="23"/>
  <c r="M95" i="23"/>
  <c r="M94" i="23"/>
  <c r="M93" i="23"/>
  <c r="M92" i="23"/>
  <c r="M91" i="23"/>
  <c r="M90" i="23"/>
  <c r="M89" i="23"/>
  <c r="M88" i="23"/>
  <c r="M87" i="23"/>
  <c r="M86" i="23"/>
  <c r="M85" i="23"/>
  <c r="M84" i="23"/>
  <c r="M83" i="23"/>
  <c r="M82" i="23"/>
  <c r="M81" i="23"/>
  <c r="M80" i="23"/>
  <c r="M79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6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3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40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7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212" i="22"/>
  <c r="M211" i="22"/>
  <c r="M210" i="22"/>
  <c r="M209" i="22"/>
  <c r="M208" i="22"/>
  <c r="M207" i="22"/>
  <c r="M206" i="22"/>
  <c r="M205" i="22"/>
  <c r="M204" i="22"/>
  <c r="M203" i="22"/>
  <c r="M202" i="22"/>
  <c r="M201" i="22"/>
  <c r="M200" i="22"/>
  <c r="M199" i="22"/>
  <c r="M198" i="22"/>
  <c r="M197" i="22"/>
  <c r="M196" i="22"/>
  <c r="M195" i="22"/>
  <c r="M194" i="22"/>
  <c r="M193" i="22"/>
  <c r="M192" i="22"/>
  <c r="M191" i="22"/>
  <c r="M190" i="22"/>
  <c r="M189" i="22"/>
  <c r="M188" i="22"/>
  <c r="M187" i="22"/>
  <c r="M186" i="22"/>
  <c r="M185" i="22"/>
  <c r="M184" i="22"/>
  <c r="M183" i="22"/>
  <c r="M182" i="22"/>
  <c r="M181" i="22"/>
  <c r="M180" i="22"/>
  <c r="M179" i="22"/>
  <c r="M178" i="22"/>
  <c r="M177" i="22"/>
  <c r="M176" i="22"/>
  <c r="M175" i="22"/>
  <c r="M174" i="22"/>
  <c r="M173" i="22"/>
  <c r="M172" i="22"/>
  <c r="M171" i="22"/>
  <c r="M170" i="22"/>
  <c r="M169" i="22"/>
  <c r="M168" i="22"/>
  <c r="M167" i="22"/>
  <c r="M166" i="22"/>
  <c r="M165" i="22"/>
  <c r="M164" i="22"/>
  <c r="M163" i="22"/>
  <c r="M162" i="22"/>
  <c r="M161" i="22"/>
  <c r="M160" i="22"/>
  <c r="M159" i="22"/>
  <c r="M158" i="22"/>
  <c r="M157" i="22"/>
  <c r="M156" i="22"/>
  <c r="M155" i="22"/>
  <c r="M154" i="22"/>
  <c r="M153" i="22"/>
  <c r="M152" i="22"/>
  <c r="M151" i="22"/>
  <c r="M150" i="22"/>
  <c r="M149" i="22"/>
  <c r="M148" i="22"/>
  <c r="M147" i="22"/>
  <c r="M146" i="22"/>
  <c r="M145" i="22"/>
  <c r="M144" i="22"/>
  <c r="M143" i="22"/>
  <c r="M142" i="22"/>
  <c r="M141" i="22"/>
  <c r="M140" i="22"/>
  <c r="M139" i="22"/>
  <c r="M138" i="22"/>
  <c r="M137" i="22"/>
  <c r="M136" i="22"/>
  <c r="M135" i="22"/>
  <c r="M134" i="22"/>
  <c r="M133" i="22"/>
  <c r="M132" i="22"/>
  <c r="M131" i="22"/>
  <c r="M130" i="22"/>
  <c r="M129" i="22"/>
  <c r="M128" i="22"/>
  <c r="M127" i="22"/>
  <c r="M126" i="22"/>
  <c r="M125" i="22"/>
  <c r="M124" i="22"/>
  <c r="M123" i="22"/>
  <c r="M122" i="22"/>
  <c r="M121" i="22"/>
  <c r="M120" i="22"/>
  <c r="M119" i="22"/>
  <c r="M118" i="22"/>
  <c r="M117" i="22"/>
  <c r="M116" i="22"/>
  <c r="M115" i="22"/>
  <c r="M114" i="22"/>
  <c r="M113" i="22"/>
  <c r="M112" i="22"/>
  <c r="M111" i="22"/>
  <c r="M110" i="22"/>
  <c r="M109" i="22"/>
  <c r="M108" i="22"/>
  <c r="M107" i="22"/>
  <c r="M106" i="22"/>
  <c r="M105" i="22"/>
  <c r="M104" i="22"/>
  <c r="M103" i="22"/>
  <c r="M102" i="22"/>
  <c r="M101" i="22"/>
  <c r="M100" i="22"/>
  <c r="M99" i="22"/>
  <c r="M98" i="22"/>
  <c r="M97" i="22"/>
  <c r="M96" i="22"/>
  <c r="M95" i="22"/>
  <c r="M94" i="22"/>
  <c r="M93" i="22"/>
  <c r="M92" i="22"/>
  <c r="M91" i="22"/>
  <c r="M90" i="22"/>
  <c r="M89" i="22"/>
  <c r="M88" i="22"/>
  <c r="M87" i="22"/>
  <c r="M86" i="22"/>
  <c r="M85" i="22"/>
  <c r="M84" i="22"/>
  <c r="M83" i="22"/>
  <c r="M82" i="22"/>
  <c r="M81" i="22"/>
  <c r="M80" i="22"/>
  <c r="M79" i="22"/>
  <c r="M78" i="22"/>
  <c r="M77" i="22"/>
  <c r="M76" i="22"/>
  <c r="M75" i="22"/>
  <c r="M74" i="22"/>
  <c r="M73" i="22"/>
  <c r="M72" i="22"/>
  <c r="M71" i="22"/>
  <c r="M70" i="22"/>
  <c r="M69" i="22"/>
  <c r="M68" i="22"/>
  <c r="M67" i="22"/>
  <c r="M66" i="22"/>
  <c r="M65" i="22"/>
  <c r="M64" i="22"/>
  <c r="M63" i="22"/>
  <c r="M62" i="22"/>
  <c r="M61" i="22"/>
  <c r="M60" i="22"/>
  <c r="M59" i="22"/>
  <c r="M58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3" i="22"/>
  <c r="M42" i="22"/>
  <c r="M41" i="22"/>
  <c r="M40" i="22"/>
  <c r="M39" i="22"/>
  <c r="M38" i="22"/>
  <c r="M37" i="22"/>
  <c r="M36" i="22"/>
  <c r="M35" i="22"/>
  <c r="M34" i="22"/>
  <c r="M33" i="22"/>
  <c r="M32" i="22"/>
  <c r="M31" i="22"/>
  <c r="M30" i="22"/>
  <c r="M29" i="22"/>
  <c r="M28" i="22"/>
  <c r="M27" i="22"/>
  <c r="M26" i="22"/>
  <c r="M25" i="22"/>
  <c r="M24" i="22"/>
  <c r="M23" i="22"/>
  <c r="M22" i="22"/>
  <c r="M21" i="22"/>
  <c r="M20" i="22"/>
  <c r="M19" i="22"/>
  <c r="M18" i="22"/>
  <c r="M17" i="22"/>
  <c r="M16" i="22"/>
  <c r="M15" i="22"/>
  <c r="M14" i="22"/>
  <c r="M13" i="22"/>
  <c r="M12" i="22"/>
  <c r="M11" i="22"/>
  <c r="L259" i="24" l="1"/>
  <c r="H261" i="24" s="1"/>
  <c r="H227" i="23"/>
  <c r="M212" i="21"/>
  <c r="M211" i="21"/>
  <c r="M210" i="21"/>
  <c r="M209" i="21"/>
  <c r="M208" i="21"/>
  <c r="M207" i="21"/>
  <c r="M206" i="21"/>
  <c r="M205" i="21"/>
  <c r="M204" i="21"/>
  <c r="M203" i="21"/>
  <c r="M202" i="21"/>
  <c r="M201" i="21"/>
  <c r="M200" i="21"/>
  <c r="M199" i="21"/>
  <c r="M198" i="21"/>
  <c r="M197" i="21"/>
  <c r="M196" i="21"/>
  <c r="M195" i="21"/>
  <c r="M194" i="21"/>
  <c r="M193" i="21"/>
  <c r="M192" i="21"/>
  <c r="M191" i="21"/>
  <c r="M190" i="21"/>
  <c r="M189" i="21"/>
  <c r="M188" i="21"/>
  <c r="M187" i="21"/>
  <c r="M186" i="21"/>
  <c r="M185" i="21"/>
  <c r="M184" i="21"/>
  <c r="M183" i="21"/>
  <c r="M182" i="21"/>
  <c r="M181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6" i="21"/>
  <c r="M155" i="21"/>
  <c r="M154" i="21"/>
  <c r="M153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8" i="21"/>
  <c r="M127" i="21"/>
  <c r="M126" i="21"/>
  <c r="M125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100" i="21"/>
  <c r="M99" i="21"/>
  <c r="M98" i="21"/>
  <c r="M97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72" i="21"/>
  <c r="M71" i="21"/>
  <c r="M70" i="21"/>
  <c r="M69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44" i="21"/>
  <c r="M43" i="21"/>
  <c r="M42" i="21"/>
  <c r="M41" i="21"/>
  <c r="M40" i="21"/>
  <c r="M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L211" i="19" l="1"/>
  <c r="L212" i="19" s="1"/>
  <c r="K211" i="19"/>
  <c r="K212" i="19" s="1"/>
  <c r="J211" i="19"/>
  <c r="J212" i="19" s="1"/>
  <c r="I211" i="19"/>
  <c r="I212" i="19" s="1"/>
  <c r="M210" i="19"/>
  <c r="M209" i="19"/>
  <c r="M208" i="19"/>
  <c r="M207" i="19"/>
  <c r="M206" i="19"/>
  <c r="M205" i="19"/>
  <c r="M204" i="19"/>
  <c r="M203" i="19"/>
  <c r="M202" i="19"/>
  <c r="M201" i="19"/>
  <c r="M200" i="19"/>
  <c r="M199" i="19"/>
  <c r="M198" i="19"/>
  <c r="M197" i="19"/>
  <c r="M196" i="19"/>
  <c r="M195" i="19"/>
  <c r="M194" i="19"/>
  <c r="M193" i="19"/>
  <c r="M192" i="19"/>
  <c r="M191" i="19"/>
  <c r="M190" i="19"/>
  <c r="M189" i="19"/>
  <c r="M188" i="19"/>
  <c r="M187" i="19"/>
  <c r="M186" i="19"/>
  <c r="M185" i="19"/>
  <c r="M184" i="19"/>
  <c r="M183" i="19"/>
  <c r="M182" i="19"/>
  <c r="M181" i="19"/>
  <c r="M180" i="19"/>
  <c r="M179" i="19"/>
  <c r="M178" i="19"/>
  <c r="M177" i="19"/>
  <c r="M176" i="19"/>
  <c r="M175" i="19"/>
  <c r="M174" i="19"/>
  <c r="M173" i="19"/>
  <c r="M172" i="19"/>
  <c r="M171" i="19"/>
  <c r="M170" i="19"/>
  <c r="M169" i="19"/>
  <c r="M168" i="19"/>
  <c r="M167" i="19"/>
  <c r="M166" i="19"/>
  <c r="M165" i="19"/>
  <c r="M164" i="19"/>
  <c r="M163" i="19"/>
  <c r="M162" i="19"/>
  <c r="M161" i="19"/>
  <c r="M160" i="19"/>
  <c r="M159" i="19"/>
  <c r="M158" i="19"/>
  <c r="M157" i="19"/>
  <c r="M156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13" i="19"/>
  <c r="M112" i="19"/>
  <c r="M111" i="19"/>
  <c r="M110" i="19"/>
  <c r="M109" i="19"/>
  <c r="M108" i="19"/>
  <c r="M107" i="19"/>
  <c r="M106" i="19"/>
  <c r="M105" i="19"/>
  <c r="M104" i="19"/>
  <c r="M103" i="19"/>
  <c r="M102" i="19"/>
  <c r="M101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M64" i="19"/>
  <c r="M63" i="19"/>
  <c r="M62" i="19"/>
  <c r="M61" i="19"/>
  <c r="M60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L217" i="18" l="1"/>
  <c r="L218" i="18" s="1"/>
  <c r="K217" i="18"/>
  <c r="J217" i="18"/>
  <c r="I217" i="18"/>
  <c r="H217" i="18"/>
  <c r="M216" i="18"/>
  <c r="M215" i="18"/>
  <c r="M214" i="18"/>
  <c r="M213" i="18"/>
  <c r="M212" i="18"/>
  <c r="M211" i="18"/>
  <c r="M210" i="18"/>
  <c r="M209" i="18"/>
  <c r="M208" i="18"/>
  <c r="M207" i="18"/>
  <c r="M206" i="18"/>
  <c r="M205" i="18"/>
  <c r="M204" i="18"/>
  <c r="M203" i="18"/>
  <c r="M202" i="18"/>
  <c r="M201" i="18"/>
  <c r="M200" i="18"/>
  <c r="M199" i="18"/>
  <c r="M198" i="18"/>
  <c r="M197" i="18"/>
  <c r="M196" i="18"/>
  <c r="M195" i="18"/>
  <c r="M194" i="18"/>
  <c r="M193" i="18"/>
  <c r="M192" i="18"/>
  <c r="M191" i="18"/>
  <c r="M190" i="18"/>
  <c r="M189" i="18"/>
  <c r="M188" i="18"/>
  <c r="M187" i="18"/>
  <c r="M186" i="18"/>
  <c r="M185" i="18"/>
  <c r="M184" i="18"/>
  <c r="M183" i="18"/>
  <c r="M182" i="18"/>
  <c r="M181" i="18"/>
  <c r="M180" i="18"/>
  <c r="M179" i="18"/>
  <c r="M178" i="18"/>
  <c r="M177" i="18"/>
  <c r="M176" i="18"/>
  <c r="M175" i="18"/>
  <c r="M174" i="18"/>
  <c r="M173" i="18"/>
  <c r="M172" i="18"/>
  <c r="M171" i="18"/>
  <c r="M170" i="18"/>
  <c r="M169" i="18"/>
  <c r="M168" i="18"/>
  <c r="M167" i="18"/>
  <c r="M166" i="18"/>
  <c r="M165" i="18"/>
  <c r="M164" i="18"/>
  <c r="M163" i="18"/>
  <c r="M162" i="18"/>
  <c r="M161" i="18"/>
  <c r="M160" i="18"/>
  <c r="M159" i="18"/>
  <c r="M158" i="18"/>
  <c r="M157" i="18"/>
  <c r="M156" i="18"/>
  <c r="M155" i="18"/>
  <c r="M154" i="18"/>
  <c r="M153" i="18"/>
  <c r="M152" i="18"/>
  <c r="M151" i="18"/>
  <c r="M150" i="18"/>
  <c r="M149" i="18"/>
  <c r="M148" i="18"/>
  <c r="M147" i="18"/>
  <c r="M146" i="18"/>
  <c r="M145" i="18"/>
  <c r="M144" i="18"/>
  <c r="M143" i="18"/>
  <c r="M142" i="18"/>
  <c r="M141" i="18"/>
  <c r="M140" i="18"/>
  <c r="M139" i="18"/>
  <c r="M138" i="18"/>
  <c r="M137" i="18"/>
  <c r="M136" i="18"/>
  <c r="M135" i="18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M119" i="18"/>
  <c r="M118" i="18"/>
  <c r="M117" i="18"/>
  <c r="M116" i="18"/>
  <c r="M115" i="18"/>
  <c r="M114" i="18"/>
  <c r="M113" i="18"/>
  <c r="M112" i="18"/>
  <c r="M111" i="18"/>
  <c r="M110" i="18"/>
  <c r="M109" i="18"/>
  <c r="M108" i="18"/>
  <c r="M107" i="18"/>
  <c r="M106" i="18"/>
  <c r="M105" i="18"/>
  <c r="M104" i="18"/>
  <c r="M103" i="18"/>
  <c r="M102" i="18"/>
  <c r="M101" i="18"/>
  <c r="M100" i="18"/>
  <c r="M99" i="18"/>
  <c r="M98" i="18"/>
  <c r="M97" i="18"/>
  <c r="M96" i="18"/>
  <c r="M95" i="18"/>
  <c r="M94" i="18"/>
  <c r="M93" i="18"/>
  <c r="M92" i="18"/>
  <c r="M91" i="18"/>
  <c r="M90" i="18"/>
  <c r="M89" i="18"/>
  <c r="M88" i="18"/>
  <c r="M87" i="18"/>
  <c r="M86" i="18"/>
  <c r="M85" i="18"/>
  <c r="M84" i="18"/>
  <c r="M83" i="18"/>
  <c r="M82" i="18"/>
  <c r="M81" i="18"/>
  <c r="M80" i="18"/>
  <c r="M79" i="18"/>
  <c r="M78" i="18"/>
  <c r="M77" i="18"/>
  <c r="M76" i="18"/>
  <c r="M75" i="18"/>
  <c r="M74" i="18"/>
  <c r="M73" i="18"/>
  <c r="M72" i="18"/>
  <c r="M71" i="18"/>
  <c r="M70" i="18"/>
  <c r="M69" i="18"/>
  <c r="M68" i="18"/>
  <c r="M67" i="18"/>
  <c r="M66" i="18"/>
  <c r="M65" i="18"/>
  <c r="M64" i="18"/>
  <c r="M63" i="18"/>
  <c r="M62" i="18"/>
  <c r="M61" i="18"/>
  <c r="M60" i="18"/>
  <c r="M59" i="18"/>
  <c r="M58" i="18"/>
  <c r="M57" i="18"/>
  <c r="M56" i="18"/>
  <c r="M55" i="18"/>
  <c r="M54" i="18"/>
  <c r="M53" i="18"/>
  <c r="M52" i="18"/>
  <c r="M51" i="18"/>
  <c r="M50" i="18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L217" i="16" l="1"/>
  <c r="M216" i="16"/>
  <c r="M215" i="16"/>
  <c r="M214" i="16"/>
  <c r="M213" i="16"/>
  <c r="M212" i="16"/>
  <c r="M211" i="16"/>
  <c r="M210" i="16"/>
  <c r="M209" i="16"/>
  <c r="M208" i="16"/>
  <c r="M207" i="16"/>
  <c r="M206" i="16"/>
  <c r="M205" i="16"/>
  <c r="M204" i="16"/>
  <c r="M203" i="16"/>
  <c r="M202" i="16"/>
  <c r="M201" i="16"/>
  <c r="M200" i="16"/>
  <c r="M199" i="16"/>
  <c r="M198" i="16"/>
  <c r="M197" i="16"/>
  <c r="M196" i="16"/>
  <c r="M195" i="16"/>
  <c r="M194" i="16"/>
  <c r="M193" i="16"/>
  <c r="M192" i="16"/>
  <c r="M191" i="16"/>
  <c r="M190" i="16"/>
  <c r="M189" i="16"/>
  <c r="M188" i="16"/>
  <c r="M187" i="16"/>
  <c r="M186" i="16"/>
  <c r="M185" i="16"/>
  <c r="M184" i="16"/>
  <c r="M183" i="16"/>
  <c r="M182" i="16"/>
  <c r="M181" i="16"/>
  <c r="M180" i="16"/>
  <c r="M179" i="16"/>
  <c r="M178" i="16"/>
  <c r="M177" i="16"/>
  <c r="M176" i="16"/>
  <c r="M175" i="16"/>
  <c r="M174" i="16"/>
  <c r="M173" i="16"/>
  <c r="M172" i="16"/>
  <c r="M171" i="16"/>
  <c r="M170" i="16"/>
  <c r="M169" i="16"/>
  <c r="M168" i="16"/>
  <c r="M167" i="16"/>
  <c r="M166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52" i="16"/>
  <c r="M151" i="16"/>
  <c r="M150" i="16"/>
  <c r="M149" i="16"/>
  <c r="M148" i="16"/>
  <c r="M147" i="16"/>
  <c r="M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M130" i="16"/>
  <c r="M129" i="16"/>
  <c r="M128" i="16"/>
  <c r="M127" i="16"/>
  <c r="M126" i="16"/>
  <c r="M125" i="16"/>
  <c r="M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M72" i="16"/>
  <c r="M71" i="16"/>
  <c r="M70" i="16"/>
  <c r="M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L222" i="17"/>
  <c r="K222" i="17"/>
  <c r="K223" i="17" s="1"/>
  <c r="J222" i="17"/>
  <c r="J223" i="17" s="1"/>
  <c r="I222" i="17"/>
  <c r="I223" i="17" s="1"/>
  <c r="H222" i="17"/>
  <c r="H223" i="17" s="1"/>
  <c r="M221" i="17"/>
  <c r="M220" i="17"/>
  <c r="M219" i="17"/>
  <c r="M218" i="17"/>
  <c r="M217" i="17"/>
  <c r="M216" i="17"/>
  <c r="M215" i="17"/>
  <c r="M214" i="17"/>
  <c r="M213" i="17"/>
  <c r="M212" i="17"/>
  <c r="M211" i="17"/>
  <c r="M210" i="17"/>
  <c r="M209" i="17"/>
  <c r="M208" i="17"/>
  <c r="M207" i="17"/>
  <c r="M206" i="17"/>
  <c r="M205" i="17"/>
  <c r="M204" i="17"/>
  <c r="M203" i="17"/>
  <c r="M202" i="17"/>
  <c r="M201" i="17"/>
  <c r="M200" i="17"/>
  <c r="M199" i="17"/>
  <c r="M198" i="17"/>
  <c r="M197" i="17"/>
  <c r="M196" i="17"/>
  <c r="M195" i="17"/>
  <c r="M194" i="17"/>
  <c r="M193" i="17"/>
  <c r="M192" i="17"/>
  <c r="M191" i="17"/>
  <c r="M190" i="17"/>
  <c r="M189" i="17"/>
  <c r="M188" i="17"/>
  <c r="M187" i="17"/>
  <c r="M186" i="17"/>
  <c r="M185" i="17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L218" i="16" l="1"/>
  <c r="L222" i="15"/>
  <c r="K222" i="15"/>
  <c r="K223" i="15" s="1"/>
  <c r="J222" i="15"/>
  <c r="J223" i="15" s="1"/>
  <c r="I222" i="15"/>
  <c r="I223" i="15" s="1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8" i="15"/>
  <c r="M197" i="15"/>
  <c r="M196" i="15"/>
  <c r="M195" i="15"/>
  <c r="M194" i="15"/>
  <c r="M193" i="15"/>
  <c r="M192" i="15"/>
  <c r="M191" i="15"/>
  <c r="M190" i="15"/>
  <c r="M189" i="15"/>
  <c r="M188" i="15"/>
  <c r="M187" i="15"/>
  <c r="M186" i="15"/>
  <c r="M185" i="15"/>
  <c r="M184" i="15"/>
  <c r="M183" i="15"/>
  <c r="M182" i="15"/>
  <c r="M181" i="15"/>
  <c r="M180" i="15"/>
  <c r="M179" i="15"/>
  <c r="M178" i="15"/>
  <c r="M177" i="15"/>
  <c r="M176" i="15"/>
  <c r="M175" i="15"/>
  <c r="M174" i="15"/>
  <c r="M173" i="15"/>
  <c r="M172" i="15"/>
  <c r="M171" i="15"/>
  <c r="M170" i="15"/>
  <c r="M169" i="15"/>
  <c r="M168" i="15"/>
  <c r="M167" i="15"/>
  <c r="M166" i="15"/>
  <c r="M165" i="15"/>
  <c r="M164" i="15"/>
  <c r="M163" i="15"/>
  <c r="M162" i="15"/>
  <c r="M161" i="15"/>
  <c r="M160" i="15"/>
  <c r="M159" i="15"/>
  <c r="M158" i="15"/>
  <c r="M157" i="15"/>
  <c r="M156" i="15"/>
  <c r="M155" i="15"/>
  <c r="M154" i="15"/>
  <c r="M153" i="15"/>
  <c r="M152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L224" i="14"/>
  <c r="K224" i="14"/>
  <c r="K225" i="14" s="1"/>
  <c r="J224" i="14"/>
  <c r="J225" i="14" s="1"/>
  <c r="I224" i="14"/>
  <c r="I225" i="14" s="1"/>
  <c r="H224" i="14"/>
  <c r="H225" i="14" s="1"/>
  <c r="H227" i="14" s="1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L225" i="14"/>
  <c r="H225" i="17" l="1"/>
  <c r="L223" i="15"/>
  <c r="L213" i="13"/>
  <c r="K213" i="13"/>
  <c r="J213" i="13"/>
  <c r="I213" i="13"/>
  <c r="H213" i="13"/>
  <c r="H214" i="13" s="1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I214" i="13" l="1"/>
  <c r="K10" i="13"/>
  <c r="L214" i="13" s="1"/>
  <c r="J214" i="13"/>
  <c r="K214" i="13" l="1"/>
  <c r="H216" i="13"/>
</calcChain>
</file>

<file path=xl/sharedStrings.xml><?xml version="1.0" encoding="utf-8"?>
<sst xmlns="http://schemas.openxmlformats.org/spreadsheetml/2006/main" count="592" uniqueCount="416">
  <si>
    <t>Total no. of Sunday school attendants per each week</t>
  </si>
  <si>
    <t>Week 1</t>
  </si>
  <si>
    <t>week 2</t>
  </si>
  <si>
    <t>week 3</t>
  </si>
  <si>
    <t>week 4</t>
  </si>
  <si>
    <t>week 5</t>
  </si>
  <si>
    <t>ID of participants</t>
  </si>
  <si>
    <t>Total weekly attendants</t>
  </si>
  <si>
    <t>Percentage of Weekly attendants</t>
  </si>
  <si>
    <t>Monthly average</t>
  </si>
  <si>
    <t>No. of class weeks in this month</t>
  </si>
  <si>
    <t>Name of participant</t>
  </si>
  <si>
    <t>Total days of attendance for a participant in all weeks</t>
  </si>
  <si>
    <t>Attendance sheet of participants attending classes in the FCP</t>
  </si>
  <si>
    <t>FCP ID</t>
  </si>
  <si>
    <t>ET065400293</t>
  </si>
  <si>
    <t>ET065400304</t>
  </si>
  <si>
    <t>ET065400306</t>
  </si>
  <si>
    <t>ET065400309</t>
  </si>
  <si>
    <t>ET065400310</t>
  </si>
  <si>
    <t>ET065400311</t>
  </si>
  <si>
    <t>ET065400313</t>
  </si>
  <si>
    <t>ET065400315</t>
  </si>
  <si>
    <t>ET065400317</t>
  </si>
  <si>
    <t>ET065400318</t>
  </si>
  <si>
    <t>ET065400319</t>
  </si>
  <si>
    <t>ET065400320</t>
  </si>
  <si>
    <t>ET065400322</t>
  </si>
  <si>
    <t>ET065400323</t>
  </si>
  <si>
    <t>ET065400324</t>
  </si>
  <si>
    <t>ET065400325</t>
  </si>
  <si>
    <t>ET065400327</t>
  </si>
  <si>
    <t>ET065400328</t>
  </si>
  <si>
    <t>ET065400329</t>
  </si>
  <si>
    <t>ET065400335</t>
  </si>
  <si>
    <t>ET065400336</t>
  </si>
  <si>
    <t>ET065400339</t>
  </si>
  <si>
    <t>ET065400341</t>
  </si>
  <si>
    <t>ET065400342</t>
  </si>
  <si>
    <t>ET065400345</t>
  </si>
  <si>
    <t>ET065400346</t>
  </si>
  <si>
    <t>ET065400347</t>
  </si>
  <si>
    <t>ET065400349</t>
  </si>
  <si>
    <t>ET065400351</t>
  </si>
  <si>
    <t>ET065400353</t>
  </si>
  <si>
    <t>ET065400354</t>
  </si>
  <si>
    <t>ET065400355</t>
  </si>
  <si>
    <t>ET065400356</t>
  </si>
  <si>
    <t>ET065400357</t>
  </si>
  <si>
    <t>ET065400360</t>
  </si>
  <si>
    <t>ET065400361</t>
  </si>
  <si>
    <t>ET065400362</t>
  </si>
  <si>
    <t>ET065400363</t>
  </si>
  <si>
    <t>ET065400364</t>
  </si>
  <si>
    <t>ET065400365</t>
  </si>
  <si>
    <t>ET065400366</t>
  </si>
  <si>
    <t>ET065400367</t>
  </si>
  <si>
    <t>ET065400368</t>
  </si>
  <si>
    <t>ET065400369</t>
  </si>
  <si>
    <t>ET065400370</t>
  </si>
  <si>
    <t>ET065400371</t>
  </si>
  <si>
    <t>ET065400372</t>
  </si>
  <si>
    <t>ET065400373</t>
  </si>
  <si>
    <t>ET065400374</t>
  </si>
  <si>
    <t>ET065400375</t>
  </si>
  <si>
    <t>ET065400376</t>
  </si>
  <si>
    <t>ET065400381</t>
  </si>
  <si>
    <t>ET065400382</t>
  </si>
  <si>
    <t>ET065400384</t>
  </si>
  <si>
    <t>ET065400386</t>
  </si>
  <si>
    <t>ET065400387</t>
  </si>
  <si>
    <t>ET065400388</t>
  </si>
  <si>
    <t>ET065400389</t>
  </si>
  <si>
    <t>ET065400395</t>
  </si>
  <si>
    <t>ET065400396</t>
  </si>
  <si>
    <t>ET065400398</t>
  </si>
  <si>
    <t>ET065400400</t>
  </si>
  <si>
    <t>ET065400401</t>
  </si>
  <si>
    <t>ET065400402</t>
  </si>
  <si>
    <t>ET065400403</t>
  </si>
  <si>
    <t>ET065400404</t>
  </si>
  <si>
    <t>ET065400405</t>
  </si>
  <si>
    <t>ET065400406</t>
  </si>
  <si>
    <t>ET065400407</t>
  </si>
  <si>
    <t>ET065400408</t>
  </si>
  <si>
    <t>ET065400409</t>
  </si>
  <si>
    <t>ET065400410</t>
  </si>
  <si>
    <t>ET065400411</t>
  </si>
  <si>
    <t>ET065400412</t>
  </si>
  <si>
    <t>ET065400414</t>
  </si>
  <si>
    <t>ET065400415</t>
  </si>
  <si>
    <t>ET065400418</t>
  </si>
  <si>
    <t>ET065400419</t>
  </si>
  <si>
    <t>ET065400420</t>
  </si>
  <si>
    <t>ET065400421</t>
  </si>
  <si>
    <t>ET065400423</t>
  </si>
  <si>
    <t>ET065400424</t>
  </si>
  <si>
    <t>ET065400425</t>
  </si>
  <si>
    <t>ET065400426</t>
  </si>
  <si>
    <t>ET065400428</t>
  </si>
  <si>
    <t>ET065400429</t>
  </si>
  <si>
    <t>ET065400430</t>
  </si>
  <si>
    <t>ET065400431</t>
  </si>
  <si>
    <t>ET065400432</t>
  </si>
  <si>
    <t>ET065400433</t>
  </si>
  <si>
    <t>ET065400434</t>
  </si>
  <si>
    <t>ET065400435</t>
  </si>
  <si>
    <t>ET065400436</t>
  </si>
  <si>
    <t>ET065400437</t>
  </si>
  <si>
    <t>ET065400438</t>
  </si>
  <si>
    <t>ET065400440</t>
  </si>
  <si>
    <t>ET065400443</t>
  </si>
  <si>
    <t>ET065400444</t>
  </si>
  <si>
    <t>ET065400445</t>
  </si>
  <si>
    <t>ET065400446</t>
  </si>
  <si>
    <t>ET065400447</t>
  </si>
  <si>
    <t>ET065400448</t>
  </si>
  <si>
    <t>ET065400449</t>
  </si>
  <si>
    <t>ET065400450</t>
  </si>
  <si>
    <t>ET065400451</t>
  </si>
  <si>
    <t>ET065400452</t>
  </si>
  <si>
    <t>ET065400453</t>
  </si>
  <si>
    <t>ET065400454</t>
  </si>
  <si>
    <t>ET065400455</t>
  </si>
  <si>
    <t>ET065400457</t>
  </si>
  <si>
    <t>ET065400458</t>
  </si>
  <si>
    <t>ET065400460</t>
  </si>
  <si>
    <t>ET065400461</t>
  </si>
  <si>
    <t>ET065400462</t>
  </si>
  <si>
    <t>ET065400465</t>
  </si>
  <si>
    <t>ET065400466</t>
  </si>
  <si>
    <t>ET065400467</t>
  </si>
  <si>
    <t>ET065400469</t>
  </si>
  <si>
    <t>ET065400470</t>
  </si>
  <si>
    <t>ET065400471</t>
  </si>
  <si>
    <t>ET065400472</t>
  </si>
  <si>
    <t>ET065400473</t>
  </si>
  <si>
    <t>ET065400474</t>
  </si>
  <si>
    <t>ET065400476</t>
  </si>
  <si>
    <t>ET065400477</t>
  </si>
  <si>
    <t>ET065400478</t>
  </si>
  <si>
    <t>ET065400479</t>
  </si>
  <si>
    <t>ET065400480</t>
  </si>
  <si>
    <t>ET065400481</t>
  </si>
  <si>
    <t>ET065400482</t>
  </si>
  <si>
    <t>ET065400483</t>
  </si>
  <si>
    <t>ET065400484</t>
  </si>
  <si>
    <t>ET065400486</t>
  </si>
  <si>
    <t>ET065400487</t>
  </si>
  <si>
    <t>ET065400488</t>
  </si>
  <si>
    <t>ET065400490</t>
  </si>
  <si>
    <t>ET065400492</t>
  </si>
  <si>
    <t>ET065400493</t>
  </si>
  <si>
    <t>ET065400495</t>
  </si>
  <si>
    <t>ET065400496</t>
  </si>
  <si>
    <t>ET065400497</t>
  </si>
  <si>
    <t>ET065400498</t>
  </si>
  <si>
    <t>ET065400499</t>
  </si>
  <si>
    <t>ET065400500</t>
  </si>
  <si>
    <t>ET065400501</t>
  </si>
  <si>
    <t>ET065400502</t>
  </si>
  <si>
    <t>ET065400503</t>
  </si>
  <si>
    <t>ET065400504</t>
  </si>
  <si>
    <t>ET065400505</t>
  </si>
  <si>
    <t>ET065400506</t>
  </si>
  <si>
    <t>ET065400507</t>
  </si>
  <si>
    <t>ET065400509</t>
  </si>
  <si>
    <t>ET065400512</t>
  </si>
  <si>
    <t>ET065400513</t>
  </si>
  <si>
    <t>ET065400514</t>
  </si>
  <si>
    <t>ET065400515</t>
  </si>
  <si>
    <t>ET065400517</t>
  </si>
  <si>
    <t>ET065400518</t>
  </si>
  <si>
    <t>ET065400519</t>
  </si>
  <si>
    <t>ET065400520</t>
  </si>
  <si>
    <t>ET065400521</t>
  </si>
  <si>
    <t>ET065400523</t>
  </si>
  <si>
    <t>ET065400524</t>
  </si>
  <si>
    <t>ET065400525</t>
  </si>
  <si>
    <t>ET065400526</t>
  </si>
  <si>
    <t>ET065400527</t>
  </si>
  <si>
    <t>ET065400529</t>
  </si>
  <si>
    <t>ET065400530</t>
  </si>
  <si>
    <t>ET065400531</t>
  </si>
  <si>
    <t>ET065400533</t>
  </si>
  <si>
    <t>ET065400534</t>
  </si>
  <si>
    <t>ET065400535</t>
  </si>
  <si>
    <t>ET065400536</t>
  </si>
  <si>
    <t>ET065400537</t>
  </si>
  <si>
    <t>ET065400538</t>
  </si>
  <si>
    <t>ET065400539</t>
  </si>
  <si>
    <t>ET065400540</t>
  </si>
  <si>
    <t>ET065400541</t>
  </si>
  <si>
    <t>ET065400542</t>
  </si>
  <si>
    <t>ET065400545</t>
  </si>
  <si>
    <t>ET065400547</t>
  </si>
  <si>
    <t>ET065400548</t>
  </si>
  <si>
    <t>ET065400549</t>
  </si>
  <si>
    <t>ET065400550</t>
  </si>
  <si>
    <t>ET065400551</t>
  </si>
  <si>
    <t>ET065400552</t>
  </si>
  <si>
    <t>ET065400553</t>
  </si>
  <si>
    <t>ET065400555</t>
  </si>
  <si>
    <t>ET065400556</t>
  </si>
  <si>
    <t>ET065400557</t>
  </si>
  <si>
    <t>ET065400558</t>
  </si>
  <si>
    <t>ET065400560</t>
  </si>
  <si>
    <t>ET065400561</t>
  </si>
  <si>
    <t>ET065400562</t>
  </si>
  <si>
    <t>ET065400565</t>
  </si>
  <si>
    <t>ET065400566</t>
  </si>
  <si>
    <t>Mintesnot Achamyeleh</t>
  </si>
  <si>
    <t>Hamde Abduman</t>
  </si>
  <si>
    <t>Ermias Alemayehu</t>
  </si>
  <si>
    <t>Mikiyas Abinet</t>
  </si>
  <si>
    <t>Helen Jemal</t>
  </si>
  <si>
    <t>Sisay Wogayehu</t>
  </si>
  <si>
    <t>Yeshak Abraham</t>
  </si>
  <si>
    <t>Tesfa Solomon</t>
  </si>
  <si>
    <t>Abel Fekru</t>
  </si>
  <si>
    <t>Abdurahak Abdi</t>
  </si>
  <si>
    <t>Shalom Admasu</t>
  </si>
  <si>
    <t>Eyob Shawel</t>
  </si>
  <si>
    <t>Ermias Lemesa</t>
  </si>
  <si>
    <t>Bewenet Zemdkun</t>
  </si>
  <si>
    <t>Natanim Yaschalew</t>
  </si>
  <si>
    <t>Yabsira Eskinder</t>
  </si>
  <si>
    <t>Rediet Wondosen</t>
  </si>
  <si>
    <t>Epherem Amanuel</t>
  </si>
  <si>
    <t>Yabsera Leulseged</t>
  </si>
  <si>
    <t>Kidus Jemal</t>
  </si>
  <si>
    <t>Fekrselam Getachew</t>
  </si>
  <si>
    <t>Abenezer Derje</t>
  </si>
  <si>
    <t>Natanim Amanuel</t>
  </si>
  <si>
    <t>Yonatan Tariku</t>
  </si>
  <si>
    <t>Nardos Aweka</t>
  </si>
  <si>
    <t>Eledna Tamerat</t>
  </si>
  <si>
    <t>Eldana Teshoma</t>
  </si>
  <si>
    <t>Berhane Getachew</t>
  </si>
  <si>
    <t>Lidya Demes</t>
  </si>
  <si>
    <t>Aden Rezene</t>
  </si>
  <si>
    <t>Yohan Milion</t>
  </si>
  <si>
    <t>Rute Yabgeta</t>
  </si>
  <si>
    <t>Eldana Behylu</t>
  </si>
  <si>
    <t>Tsion Kefyalw</t>
  </si>
  <si>
    <t>Elshaday Wendemagn</t>
  </si>
  <si>
    <t>Abenizer Tarfe</t>
  </si>
  <si>
    <t>Natnel Dems</t>
  </si>
  <si>
    <t>Ferazer Masresha</t>
  </si>
  <si>
    <t>Habtamu Addis</t>
  </si>
  <si>
    <t>Bilal Alemu</t>
  </si>
  <si>
    <t>Dagim Berhau</t>
  </si>
  <si>
    <t>Samuel Seyum</t>
  </si>
  <si>
    <t>Nahom Abdumena</t>
  </si>
  <si>
    <t>Abenezer Desalgn</t>
  </si>
  <si>
    <t>Dagim Tamerat</t>
  </si>
  <si>
    <t>Eyosyas Sahlemaryam</t>
  </si>
  <si>
    <t>Earmias Girma</t>
  </si>
  <si>
    <t>Hamdi Redwan</t>
  </si>
  <si>
    <t>Abdulfeta Musa</t>
  </si>
  <si>
    <t>Kirubel Yared</t>
  </si>
  <si>
    <t>Surafel Yared</t>
  </si>
  <si>
    <t>Yosef Biniam</t>
  </si>
  <si>
    <t>Yehiwotkal Eyuel</t>
  </si>
  <si>
    <t>Yamrot Bezuayhu</t>
  </si>
  <si>
    <t>Sisay Berla</t>
  </si>
  <si>
    <t>Hamye Alye</t>
  </si>
  <si>
    <t>Werkyantef Sheferaw</t>
  </si>
  <si>
    <t>Fetsum Habtamu</t>
  </si>
  <si>
    <t>Yeshak Biniyam</t>
  </si>
  <si>
    <t>Micheal Takele</t>
  </si>
  <si>
    <t>Eldana Bogale</t>
  </si>
  <si>
    <t>Edlawit Demissie</t>
  </si>
  <si>
    <t>Nathaniel Demissie</t>
  </si>
  <si>
    <t>Yetinbit Tesfalem</t>
  </si>
  <si>
    <t>Besufekad Feleke</t>
  </si>
  <si>
    <t>Sofiya Abdurahman</t>
  </si>
  <si>
    <t>Bisrat Yonas</t>
  </si>
  <si>
    <t>Feven Eskindir</t>
  </si>
  <si>
    <t>Medhanit Teshome</t>
  </si>
  <si>
    <t>Senait Zewdu</t>
  </si>
  <si>
    <t>Eldana Habtamu</t>
  </si>
  <si>
    <t>Yanet Tariku</t>
  </si>
  <si>
    <t>Rediet Asfaw</t>
  </si>
  <si>
    <t>Mistre Eyob</t>
  </si>
  <si>
    <t>Atersata Yibekal</t>
  </si>
  <si>
    <t>Bereketab Gashaw</t>
  </si>
  <si>
    <t>Absalew Getahun</t>
  </si>
  <si>
    <t>Edlawit Tadesse</t>
  </si>
  <si>
    <t>Bamlaknesh Haile</t>
  </si>
  <si>
    <t>Sisay Gossa</t>
  </si>
  <si>
    <t>Alazar Kassahun</t>
  </si>
  <si>
    <t>Eyob Tesfaye</t>
  </si>
  <si>
    <t>Bereket Amanuel</t>
  </si>
  <si>
    <t>Fitsum Solomon</t>
  </si>
  <si>
    <t>Dibora Deresse</t>
  </si>
  <si>
    <t>Efrata Assefa</t>
  </si>
  <si>
    <t>Hermela Bartema</t>
  </si>
  <si>
    <t>Marouf Goliad</t>
  </si>
  <si>
    <t>Natanim Shiferaw</t>
  </si>
  <si>
    <t>Abraham Aweke</t>
  </si>
  <si>
    <t>Kalkidan Temesgen</t>
  </si>
  <si>
    <t>Fitsum Dawit</t>
  </si>
  <si>
    <t>Sitra Dine</t>
  </si>
  <si>
    <t>Yoseph Tibebe</t>
  </si>
  <si>
    <t>Hamdi Abera</t>
  </si>
  <si>
    <t>Makbel Ephrem</t>
  </si>
  <si>
    <t>Tsion Getachew</t>
  </si>
  <si>
    <t>Liya Bruk</t>
  </si>
  <si>
    <t>Bethelhem Nigatu</t>
  </si>
  <si>
    <t>Gizachew Tilahun</t>
  </si>
  <si>
    <t>Yamlak Sisay</t>
  </si>
  <si>
    <t>Samuel Solomon</t>
  </si>
  <si>
    <t>Betselot Sisay</t>
  </si>
  <si>
    <t>Aysha Aliyi</t>
  </si>
  <si>
    <t>Ananiya Mesay</t>
  </si>
  <si>
    <t>Papael Tatek</t>
  </si>
  <si>
    <t>Dagim Shikuri</t>
  </si>
  <si>
    <t>Ermias Adem</t>
  </si>
  <si>
    <t>Bethelhem Tibebu</t>
  </si>
  <si>
    <t>Yohannes Teklu</t>
  </si>
  <si>
    <t>Samuel Bahru</t>
  </si>
  <si>
    <t>Selam Sisay</t>
  </si>
  <si>
    <t>Kalab Aychiluhim</t>
  </si>
  <si>
    <t>Saron Ermias</t>
  </si>
  <si>
    <t>Adishiwet Kifle</t>
  </si>
  <si>
    <t>Mohammed Taju</t>
  </si>
  <si>
    <t>Ferid Abdi</t>
  </si>
  <si>
    <t>Meklit Mengstu</t>
  </si>
  <si>
    <t>Adisalem Kifle</t>
  </si>
  <si>
    <t>Edomiyas Habtamu</t>
  </si>
  <si>
    <t>Yedesdes Samson</t>
  </si>
  <si>
    <t>Rakab Tesfaye</t>
  </si>
  <si>
    <t>Surafel Daneal</t>
  </si>
  <si>
    <t>Yonatan Tewedros</t>
  </si>
  <si>
    <t>Tariku Chala</t>
  </si>
  <si>
    <t>Esubalew Mesfin</t>
  </si>
  <si>
    <t>Abenezer Berihun</t>
  </si>
  <si>
    <t>Makibale Birhanu</t>
  </si>
  <si>
    <t>Melat Mesfin</t>
  </si>
  <si>
    <t>Yohanis Balew</t>
  </si>
  <si>
    <t>Amanueal Zeleke</t>
  </si>
  <si>
    <t>Mister Shimelis</t>
  </si>
  <si>
    <t>Yimeret Habitamu</t>
  </si>
  <si>
    <t>Abenezer Shewabebe</t>
  </si>
  <si>
    <t>Haben Gebremeskel</t>
  </si>
  <si>
    <t>Liyu Joni</t>
  </si>
  <si>
    <t>Kurubal Tamirat</t>
  </si>
  <si>
    <t>Beza Tamrat</t>
  </si>
  <si>
    <t>Helen Fantahun</t>
  </si>
  <si>
    <t>Natanim Kasahun</t>
  </si>
  <si>
    <t>Nahom Gizaw</t>
  </si>
  <si>
    <t>Makbal Girma</t>
  </si>
  <si>
    <t>Temesgen Dawit</t>
  </si>
  <si>
    <t>Bereket Tadesse</t>
  </si>
  <si>
    <t>Andualem Mtiku</t>
  </si>
  <si>
    <t>Samison Tibebe</t>
  </si>
  <si>
    <t>Sena Abdi</t>
  </si>
  <si>
    <t>Enku Abraham</t>
  </si>
  <si>
    <t>Lidya Loyo</t>
  </si>
  <si>
    <t>Eldana Haymanot</t>
  </si>
  <si>
    <t>Dagim Hailu</t>
  </si>
  <si>
    <t>Efrata Fantahun</t>
  </si>
  <si>
    <t>Saron Selomon</t>
  </si>
  <si>
    <t>Abenezer Mekuninit</t>
  </si>
  <si>
    <t>Getu Temesegen Temesgen</t>
  </si>
  <si>
    <t>Yonas Balew</t>
  </si>
  <si>
    <t>Yabsira Zemedkun</t>
  </si>
  <si>
    <t>Eldane Fasil</t>
  </si>
  <si>
    <t>Natinael Mekonin</t>
  </si>
  <si>
    <t>Selam Gebru Tesfaye</t>
  </si>
  <si>
    <t>Betselot Tena Asefa</t>
  </si>
  <si>
    <t>Mikias Zerihun</t>
  </si>
  <si>
    <t>Dagim Dejene Bekele</t>
  </si>
  <si>
    <t>Samuel Daniel Teka</t>
  </si>
  <si>
    <t>Amen Girma Deme</t>
  </si>
  <si>
    <t>Yabsira Habitamu Gizachew</t>
  </si>
  <si>
    <t>Obisa Abdulkadir</t>
  </si>
  <si>
    <t>Meklit Berehanu Doda</t>
  </si>
  <si>
    <t>Meklit Temesgen</t>
  </si>
  <si>
    <t>Fkire Marefiya</t>
  </si>
  <si>
    <t>Natineal Solomon</t>
  </si>
  <si>
    <t>Belen Getachew</t>
  </si>
  <si>
    <t>Yusuf Jibril</t>
  </si>
  <si>
    <t>Haleluya Mohamed</t>
  </si>
  <si>
    <t>Temesegen Abdulselam</t>
  </si>
  <si>
    <t>Kenean Biniyam</t>
  </si>
  <si>
    <t>Fidoriya Ashenafi</t>
  </si>
  <si>
    <t>Amen Ylikal</t>
  </si>
  <si>
    <t>Nazrawit Behayilu</t>
  </si>
  <si>
    <t>Akaleweld Bizuneh</t>
  </si>
  <si>
    <t>Meklit Esubalew</t>
  </si>
  <si>
    <t>Mikiyas Siyum</t>
  </si>
  <si>
    <t>Yordanos Emishaw</t>
  </si>
  <si>
    <t>Natinael Debebe</t>
  </si>
  <si>
    <t>Natinael Tinsaye</t>
  </si>
  <si>
    <t>Reyan Zekariya</t>
  </si>
  <si>
    <t>Ablakew Zene</t>
  </si>
  <si>
    <t>Tsinukal Tesfaye</t>
  </si>
  <si>
    <t>Eldana Habitamu</t>
  </si>
  <si>
    <t>Bitaniya Wendosen</t>
  </si>
  <si>
    <t>Meseret Girma</t>
  </si>
  <si>
    <t>Hamiza Abdi</t>
  </si>
  <si>
    <t>Natan Biniyam</t>
  </si>
  <si>
    <t>Mekaela Sharew</t>
  </si>
  <si>
    <t>Kenean Adem</t>
  </si>
  <si>
    <t>Meklit Tsegaye Lema</t>
  </si>
  <si>
    <t>ET0654</t>
  </si>
  <si>
    <t>ET065400586</t>
  </si>
  <si>
    <t>Sitota Selomon</t>
  </si>
  <si>
    <t>ET065400588</t>
  </si>
  <si>
    <t>Ayzend Yared</t>
  </si>
  <si>
    <t>ET065400610</t>
  </si>
  <si>
    <t>Arsema Zenebe</t>
  </si>
  <si>
    <t>ET065400626</t>
  </si>
  <si>
    <t>Esayas Tadele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</si>
</sst>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haroni"/>
      <charset val="177"/>
    </font>
    <font>
      <b/>
      <sz val="11"/>
      <color theme="1"/>
      <name val="Algerian"/>
      <family val="5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Microsoft Himalaya"/>
    </font>
    <font>
      <b/>
      <sz val="11"/>
      <color theme="1"/>
      <name val="Walbaum Display Light"/>
      <family val="1"/>
    </font>
    <font>
      <b/>
      <sz val="11"/>
      <color theme="1"/>
      <name val="Aharoni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0" fillId="9" borderId="3" xfId="0" applyFill="1" applyBorder="1" applyProtection="1">
      <protection locked="0"/>
    </xf>
    <xf numFmtId="0" fontId="5" fillId="8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1" xfId="0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5" borderId="3" xfId="0" applyFont="1" applyFill="1" applyBorder="1" applyProtection="1"/>
    <xf numFmtId="0" fontId="1" fillId="6" borderId="3" xfId="0" applyFont="1" applyFill="1" applyBorder="1" applyProtection="1"/>
    <xf numFmtId="0" fontId="7" fillId="7" borderId="3" xfId="0" applyFont="1" applyFill="1" applyBorder="1" applyAlignment="1" applyProtection="1">
      <alignment horizontal="center"/>
    </xf>
    <xf numFmtId="0" fontId="7" fillId="2" borderId="3" xfId="0" applyFont="1" applyFill="1" applyBorder="1" applyAlignment="1" applyProtection="1">
      <alignment horizontal="center"/>
    </xf>
    <xf numFmtId="0" fontId="7" fillId="7" borderId="4" xfId="0" applyFont="1" applyFill="1" applyBorder="1" applyAlignment="1" applyProtection="1">
      <alignment horizontal="center"/>
    </xf>
    <xf numFmtId="0" fontId="0" fillId="9" borderId="3" xfId="0" applyFill="1" applyBorder="1" applyProtection="1"/>
    <xf numFmtId="0" fontId="1" fillId="3" borderId="12" xfId="0" applyFont="1" applyFill="1" applyBorder="1" applyAlignment="1" applyProtection="1">
      <alignment horizontal="center" wrapText="1"/>
    </xf>
    <xf numFmtId="0" fontId="1" fillId="3" borderId="12" xfId="0" applyFont="1" applyFill="1" applyBorder="1" applyAlignment="1" applyProtection="1">
      <alignment horizontal="center" vertical="center" wrapText="1"/>
    </xf>
    <xf numFmtId="0" fontId="0" fillId="7" borderId="21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164" fontId="1" fillId="5" borderId="3" xfId="0" applyNumberFormat="1" applyFont="1" applyFill="1" applyBorder="1" applyAlignment="1" applyProtection="1">
      <alignment horizontal="center"/>
    </xf>
    <xf numFmtId="0" fontId="1" fillId="6" borderId="3" xfId="0" applyFont="1" applyFill="1" applyBorder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6" fillId="0" borderId="14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16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6" fillId="0" borderId="12" xfId="0" applyFont="1" applyBorder="1" applyAlignment="1" applyProtection="1">
      <alignment horizontal="center"/>
    </xf>
    <xf numFmtId="0" fontId="6" fillId="0" borderId="17" xfId="0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4" fillId="4" borderId="9" xfId="0" applyFont="1" applyFill="1" applyBorder="1" applyAlignment="1" applyProtection="1">
      <alignment horizontal="center"/>
    </xf>
    <xf numFmtId="0" fontId="4" fillId="4" borderId="0" xfId="0" applyFont="1" applyFill="1" applyBorder="1" applyAlignment="1" applyProtection="1">
      <alignment horizontal="center"/>
    </xf>
    <xf numFmtId="0" fontId="4" fillId="4" borderId="6" xfId="0" applyFont="1" applyFill="1" applyBorder="1" applyAlignment="1" applyProtection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 wrapText="1"/>
    </xf>
    <xf numFmtId="0" fontId="2" fillId="2" borderId="2" xfId="0" applyFont="1" applyFill="1" applyBorder="1" applyAlignment="1" applyProtection="1">
      <alignment horizontal="center" wrapText="1"/>
    </xf>
    <xf numFmtId="0" fontId="0" fillId="3" borderId="10" xfId="0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16"/>
  <sheetViews>
    <sheetView tabSelected="1" workbookViewId="0">
      <selection activeCell="K214" sqref="K214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6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45.75" thickBot="1">
      <c r="E10" s="5"/>
      <c r="F10" s="19" t="s">
        <v>6</v>
      </c>
      <c r="G10" s="20" t="s">
        <v>11</v>
      </c>
      <c r="H10" s="21">
        <v>231</v>
      </c>
      <c r="I10" s="22">
        <v>231</v>
      </c>
      <c r="J10" s="21">
        <v>231</v>
      </c>
      <c r="K10" s="22">
        <f t="shared" ref="K10" si="0">J10</f>
        <v>231</v>
      </c>
      <c r="L10" s="21"/>
      <c r="M10" s="58"/>
    </row>
    <row r="11" spans="5:13">
      <c r="E11" s="6">
        <v>1</v>
      </c>
      <c r="F11" s="59" t="s">
        <v>15</v>
      </c>
      <c r="G11" s="60" t="s">
        <v>211</v>
      </c>
      <c r="H11" s="61">
        <v>1</v>
      </c>
      <c r="I11" s="61">
        <v>1</v>
      </c>
      <c r="J11" s="61">
        <v>1</v>
      </c>
      <c r="K11" s="61">
        <v>1</v>
      </c>
      <c r="L11" s="23"/>
      <c r="M11" s="24">
        <f>(H11+I11+J11+K11+L11)</f>
        <v>4</v>
      </c>
    </row>
    <row r="12" spans="5:13">
      <c r="E12" s="9">
        <v>2</v>
      </c>
      <c r="F12" s="59" t="s">
        <v>16</v>
      </c>
      <c r="G12" s="60" t="s">
        <v>212</v>
      </c>
      <c r="H12" s="61">
        <v>1</v>
      </c>
      <c r="I12" s="61">
        <v>1</v>
      </c>
      <c r="J12" s="61">
        <v>1</v>
      </c>
      <c r="K12" s="61">
        <v>1</v>
      </c>
      <c r="L12" s="23"/>
      <c r="M12" s="25">
        <f>(H12+I12+J12+K12+L12)</f>
        <v>4</v>
      </c>
    </row>
    <row r="13" spans="5:13">
      <c r="E13" s="9">
        <v>3</v>
      </c>
      <c r="F13" s="59" t="s">
        <v>17</v>
      </c>
      <c r="G13" s="60" t="s">
        <v>213</v>
      </c>
      <c r="H13" s="61">
        <v>0</v>
      </c>
      <c r="I13" s="61">
        <v>1</v>
      </c>
      <c r="J13" s="61">
        <v>1</v>
      </c>
      <c r="K13" s="61">
        <v>1</v>
      </c>
      <c r="L13" s="23"/>
      <c r="M13" s="25">
        <f>(H13+I13+J13+K13+L13)</f>
        <v>3</v>
      </c>
    </row>
    <row r="14" spans="5:13">
      <c r="E14" s="9">
        <v>4</v>
      </c>
      <c r="F14" s="59" t="s">
        <v>18</v>
      </c>
      <c r="G14" s="60" t="s">
        <v>214</v>
      </c>
      <c r="H14" s="61">
        <v>1</v>
      </c>
      <c r="I14" s="61">
        <v>1</v>
      </c>
      <c r="J14" s="61">
        <v>0</v>
      </c>
      <c r="K14" s="61">
        <v>1</v>
      </c>
      <c r="L14" s="23"/>
      <c r="M14" s="25">
        <f>(H14+I14+J14+K14+L14)</f>
        <v>3</v>
      </c>
    </row>
    <row r="15" spans="5:13">
      <c r="E15" s="9">
        <v>5</v>
      </c>
      <c r="F15" s="59" t="s">
        <v>19</v>
      </c>
      <c r="G15" s="60" t="s">
        <v>215</v>
      </c>
      <c r="H15" s="61">
        <v>0</v>
      </c>
      <c r="I15" s="61">
        <v>1</v>
      </c>
      <c r="J15" s="61">
        <v>1</v>
      </c>
      <c r="K15" s="61">
        <v>1</v>
      </c>
      <c r="L15" s="23"/>
      <c r="M15" s="25">
        <f t="shared" ref="M15:M78" si="1">(H15+I15+J15+K15+L15)</f>
        <v>3</v>
      </c>
    </row>
    <row r="16" spans="5:13">
      <c r="E16" s="9">
        <v>6</v>
      </c>
      <c r="F16" s="59" t="s">
        <v>20</v>
      </c>
      <c r="G16" s="60" t="s">
        <v>216</v>
      </c>
      <c r="H16" s="61">
        <v>1</v>
      </c>
      <c r="I16" s="61">
        <v>1</v>
      </c>
      <c r="J16" s="61">
        <v>1</v>
      </c>
      <c r="K16" s="61">
        <v>1</v>
      </c>
      <c r="L16" s="23"/>
      <c r="M16" s="25">
        <f t="shared" si="1"/>
        <v>4</v>
      </c>
    </row>
    <row r="17" spans="5:13">
      <c r="E17" s="9">
        <v>7</v>
      </c>
      <c r="F17" s="59" t="s">
        <v>21</v>
      </c>
      <c r="G17" s="60" t="s">
        <v>217</v>
      </c>
      <c r="H17" s="61">
        <v>1</v>
      </c>
      <c r="I17" s="61">
        <v>1</v>
      </c>
      <c r="J17" s="61">
        <v>1</v>
      </c>
      <c r="K17" s="61">
        <v>0</v>
      </c>
      <c r="L17" s="23"/>
      <c r="M17" s="25">
        <f t="shared" si="1"/>
        <v>3</v>
      </c>
    </row>
    <row r="18" spans="5:13">
      <c r="E18" s="9">
        <v>8</v>
      </c>
      <c r="F18" s="59" t="s">
        <v>22</v>
      </c>
      <c r="G18" s="60" t="s">
        <v>218</v>
      </c>
      <c r="H18" s="61">
        <v>0</v>
      </c>
      <c r="I18" s="61">
        <v>1</v>
      </c>
      <c r="J18" s="61">
        <v>1</v>
      </c>
      <c r="K18" s="61">
        <v>1</v>
      </c>
      <c r="L18" s="23"/>
      <c r="M18" s="25">
        <f t="shared" si="1"/>
        <v>3</v>
      </c>
    </row>
    <row r="19" spans="5:13">
      <c r="E19" s="9">
        <v>9</v>
      </c>
      <c r="F19" s="59" t="s">
        <v>23</v>
      </c>
      <c r="G19" s="60" t="s">
        <v>219</v>
      </c>
      <c r="H19" s="61">
        <v>1</v>
      </c>
      <c r="I19" s="61">
        <v>1</v>
      </c>
      <c r="J19" s="61">
        <v>0</v>
      </c>
      <c r="K19" s="61">
        <v>1</v>
      </c>
      <c r="L19" s="23"/>
      <c r="M19" s="25">
        <f t="shared" si="1"/>
        <v>3</v>
      </c>
    </row>
    <row r="20" spans="5:13">
      <c r="E20" s="9">
        <v>10</v>
      </c>
      <c r="F20" s="59" t="s">
        <v>24</v>
      </c>
      <c r="G20" s="60" t="s">
        <v>220</v>
      </c>
      <c r="H20" s="61">
        <v>1</v>
      </c>
      <c r="I20" s="61">
        <v>1</v>
      </c>
      <c r="J20" s="61">
        <v>1</v>
      </c>
      <c r="K20" s="61">
        <v>0</v>
      </c>
      <c r="L20" s="23"/>
      <c r="M20" s="25">
        <f t="shared" si="1"/>
        <v>3</v>
      </c>
    </row>
    <row r="21" spans="5:13">
      <c r="E21" s="9">
        <v>11</v>
      </c>
      <c r="F21" s="59" t="s">
        <v>25</v>
      </c>
      <c r="G21" s="60" t="s">
        <v>221</v>
      </c>
      <c r="H21" s="61">
        <v>0</v>
      </c>
      <c r="I21" s="61">
        <v>1</v>
      </c>
      <c r="J21" s="61">
        <v>1</v>
      </c>
      <c r="K21" s="61">
        <v>1</v>
      </c>
      <c r="L21" s="23"/>
      <c r="M21" s="25">
        <f t="shared" si="1"/>
        <v>3</v>
      </c>
    </row>
    <row r="22" spans="5:13">
      <c r="E22" s="9">
        <v>12</v>
      </c>
      <c r="F22" s="59" t="s">
        <v>26</v>
      </c>
      <c r="G22" s="60" t="s">
        <v>222</v>
      </c>
      <c r="H22" s="61">
        <v>1</v>
      </c>
      <c r="I22" s="61">
        <v>1</v>
      </c>
      <c r="J22" s="61">
        <v>1</v>
      </c>
      <c r="K22" s="61">
        <v>0</v>
      </c>
      <c r="L22" s="23"/>
      <c r="M22" s="25">
        <f t="shared" si="1"/>
        <v>3</v>
      </c>
    </row>
    <row r="23" spans="5:13">
      <c r="E23" s="9">
        <v>13</v>
      </c>
      <c r="F23" s="59" t="s">
        <v>27</v>
      </c>
      <c r="G23" s="60" t="s">
        <v>223</v>
      </c>
      <c r="H23" s="61">
        <v>1</v>
      </c>
      <c r="I23" s="61">
        <v>1</v>
      </c>
      <c r="J23" s="61">
        <v>0</v>
      </c>
      <c r="K23" s="61">
        <v>1</v>
      </c>
      <c r="L23" s="23"/>
      <c r="M23" s="25">
        <f t="shared" si="1"/>
        <v>3</v>
      </c>
    </row>
    <row r="24" spans="5:13">
      <c r="E24" s="9">
        <v>14</v>
      </c>
      <c r="F24" s="59" t="s">
        <v>28</v>
      </c>
      <c r="G24" s="60" t="s">
        <v>224</v>
      </c>
      <c r="H24" s="61">
        <v>1</v>
      </c>
      <c r="I24" s="61">
        <v>0</v>
      </c>
      <c r="J24" s="61">
        <v>1</v>
      </c>
      <c r="K24" s="61">
        <v>1</v>
      </c>
      <c r="L24" s="23"/>
      <c r="M24" s="25">
        <f t="shared" si="1"/>
        <v>3</v>
      </c>
    </row>
    <row r="25" spans="5:13">
      <c r="E25" s="9">
        <v>15</v>
      </c>
      <c r="F25" s="59" t="s">
        <v>29</v>
      </c>
      <c r="G25" s="60" t="s">
        <v>225</v>
      </c>
      <c r="H25" s="61">
        <v>0</v>
      </c>
      <c r="I25" s="61">
        <v>1</v>
      </c>
      <c r="J25" s="61">
        <v>1</v>
      </c>
      <c r="K25" s="61">
        <v>1</v>
      </c>
      <c r="L25" s="23"/>
      <c r="M25" s="25">
        <f t="shared" si="1"/>
        <v>3</v>
      </c>
    </row>
    <row r="26" spans="5:13">
      <c r="E26" s="9">
        <v>16</v>
      </c>
      <c r="F26" s="59" t="s">
        <v>30</v>
      </c>
      <c r="G26" s="60" t="s">
        <v>226</v>
      </c>
      <c r="H26" s="61">
        <v>1</v>
      </c>
      <c r="I26" s="61">
        <v>1</v>
      </c>
      <c r="J26" s="61">
        <v>0</v>
      </c>
      <c r="K26" s="61">
        <v>1</v>
      </c>
      <c r="L26" s="23"/>
      <c r="M26" s="25">
        <f t="shared" si="1"/>
        <v>3</v>
      </c>
    </row>
    <row r="27" spans="5:13">
      <c r="E27" s="9">
        <v>17</v>
      </c>
      <c r="F27" s="59" t="s">
        <v>31</v>
      </c>
      <c r="G27" s="60" t="s">
        <v>227</v>
      </c>
      <c r="H27" s="61">
        <v>1</v>
      </c>
      <c r="I27" s="61">
        <v>1</v>
      </c>
      <c r="J27" s="61">
        <v>1</v>
      </c>
      <c r="K27" s="61">
        <v>0</v>
      </c>
      <c r="L27" s="23"/>
      <c r="M27" s="25">
        <f t="shared" si="1"/>
        <v>3</v>
      </c>
    </row>
    <row r="28" spans="5:13">
      <c r="E28" s="9">
        <v>18</v>
      </c>
      <c r="F28" s="59" t="s">
        <v>32</v>
      </c>
      <c r="G28" s="60" t="s">
        <v>228</v>
      </c>
      <c r="H28" s="61">
        <v>1</v>
      </c>
      <c r="I28" s="61">
        <v>1</v>
      </c>
      <c r="J28" s="61">
        <v>1</v>
      </c>
      <c r="K28" s="61">
        <v>1</v>
      </c>
      <c r="L28" s="23"/>
      <c r="M28" s="25">
        <f t="shared" si="1"/>
        <v>4</v>
      </c>
    </row>
    <row r="29" spans="5:13">
      <c r="E29" s="9">
        <v>19</v>
      </c>
      <c r="F29" s="59" t="s">
        <v>33</v>
      </c>
      <c r="G29" s="60" t="s">
        <v>229</v>
      </c>
      <c r="H29" s="61">
        <v>0</v>
      </c>
      <c r="I29" s="61">
        <v>1</v>
      </c>
      <c r="J29" s="61">
        <v>1</v>
      </c>
      <c r="K29" s="61">
        <v>1</v>
      </c>
      <c r="L29" s="23"/>
      <c r="M29" s="25">
        <f t="shared" si="1"/>
        <v>3</v>
      </c>
    </row>
    <row r="30" spans="5:13">
      <c r="E30" s="9">
        <v>20</v>
      </c>
      <c r="F30" s="59" t="s">
        <v>34</v>
      </c>
      <c r="G30" s="60" t="s">
        <v>230</v>
      </c>
      <c r="H30" s="61">
        <v>1</v>
      </c>
      <c r="I30" s="61">
        <v>1</v>
      </c>
      <c r="J30" s="61">
        <v>0</v>
      </c>
      <c r="K30" s="61">
        <v>1</v>
      </c>
      <c r="L30" s="23"/>
      <c r="M30" s="25">
        <f t="shared" si="1"/>
        <v>3</v>
      </c>
    </row>
    <row r="31" spans="5:13">
      <c r="E31" s="9">
        <v>21</v>
      </c>
      <c r="F31" s="59" t="s">
        <v>35</v>
      </c>
      <c r="G31" s="60" t="s">
        <v>231</v>
      </c>
      <c r="H31" s="61">
        <v>1</v>
      </c>
      <c r="I31" s="61">
        <v>1</v>
      </c>
      <c r="J31" s="61">
        <v>1</v>
      </c>
      <c r="K31" s="61">
        <v>1</v>
      </c>
      <c r="L31" s="23"/>
      <c r="M31" s="25">
        <f t="shared" si="1"/>
        <v>4</v>
      </c>
    </row>
    <row r="32" spans="5:13">
      <c r="E32" s="9">
        <v>22</v>
      </c>
      <c r="F32" s="59" t="s">
        <v>36</v>
      </c>
      <c r="G32" s="60" t="s">
        <v>232</v>
      </c>
      <c r="H32" s="61">
        <v>1</v>
      </c>
      <c r="I32" s="61">
        <v>0</v>
      </c>
      <c r="J32" s="61">
        <v>1</v>
      </c>
      <c r="K32" s="61">
        <v>0</v>
      </c>
      <c r="L32" s="23"/>
      <c r="M32" s="25">
        <f t="shared" si="1"/>
        <v>2</v>
      </c>
    </row>
    <row r="33" spans="5:13">
      <c r="E33" s="9">
        <v>23</v>
      </c>
      <c r="F33" s="59" t="s">
        <v>37</v>
      </c>
      <c r="G33" s="60" t="s">
        <v>233</v>
      </c>
      <c r="H33" s="61">
        <v>1</v>
      </c>
      <c r="I33" s="61">
        <v>1</v>
      </c>
      <c r="J33" s="61">
        <v>1</v>
      </c>
      <c r="K33" s="61">
        <v>1</v>
      </c>
      <c r="L33" s="23"/>
      <c r="M33" s="25">
        <f t="shared" si="1"/>
        <v>4</v>
      </c>
    </row>
    <row r="34" spans="5:13">
      <c r="E34" s="9">
        <v>24</v>
      </c>
      <c r="F34" s="59" t="s">
        <v>38</v>
      </c>
      <c r="G34" s="60" t="s">
        <v>234</v>
      </c>
      <c r="H34" s="61">
        <v>0</v>
      </c>
      <c r="I34" s="61">
        <v>1</v>
      </c>
      <c r="J34" s="61">
        <v>0</v>
      </c>
      <c r="K34" s="61">
        <v>1</v>
      </c>
      <c r="L34" s="23"/>
      <c r="M34" s="25">
        <f t="shared" si="1"/>
        <v>2</v>
      </c>
    </row>
    <row r="35" spans="5:13">
      <c r="E35" s="9">
        <v>25</v>
      </c>
      <c r="F35" s="59" t="s">
        <v>39</v>
      </c>
      <c r="G35" s="60" t="s">
        <v>235</v>
      </c>
      <c r="H35" s="61">
        <v>1</v>
      </c>
      <c r="I35" s="61">
        <v>0</v>
      </c>
      <c r="J35" s="61">
        <v>1</v>
      </c>
      <c r="K35" s="61">
        <v>0</v>
      </c>
      <c r="L35" s="23"/>
      <c r="M35" s="25">
        <f t="shared" si="1"/>
        <v>2</v>
      </c>
    </row>
    <row r="36" spans="5:13">
      <c r="E36" s="9">
        <v>26</v>
      </c>
      <c r="F36" s="59" t="s">
        <v>40</v>
      </c>
      <c r="G36" s="60" t="s">
        <v>236</v>
      </c>
      <c r="H36" s="61">
        <v>1</v>
      </c>
      <c r="I36" s="61">
        <v>1</v>
      </c>
      <c r="J36" s="61">
        <v>1</v>
      </c>
      <c r="K36" s="61">
        <v>1</v>
      </c>
      <c r="L36" s="23"/>
      <c r="M36" s="25">
        <f t="shared" si="1"/>
        <v>4</v>
      </c>
    </row>
    <row r="37" spans="5:13">
      <c r="E37" s="9">
        <v>27</v>
      </c>
      <c r="F37" s="59" t="s">
        <v>41</v>
      </c>
      <c r="G37" s="60" t="s">
        <v>237</v>
      </c>
      <c r="H37" s="61">
        <v>1</v>
      </c>
      <c r="I37" s="61">
        <v>1</v>
      </c>
      <c r="J37" s="61">
        <v>1</v>
      </c>
      <c r="K37" s="61">
        <v>1</v>
      </c>
      <c r="L37" s="23"/>
      <c r="M37" s="25">
        <f t="shared" si="1"/>
        <v>4</v>
      </c>
    </row>
    <row r="38" spans="5:13">
      <c r="E38" s="9">
        <v>28</v>
      </c>
      <c r="F38" s="59" t="s">
        <v>42</v>
      </c>
      <c r="G38" s="60" t="s">
        <v>238</v>
      </c>
      <c r="H38" s="61">
        <v>1</v>
      </c>
      <c r="I38" s="61">
        <v>0</v>
      </c>
      <c r="J38" s="61">
        <v>1</v>
      </c>
      <c r="K38" s="61">
        <v>1</v>
      </c>
      <c r="L38" s="23"/>
      <c r="M38" s="25">
        <f t="shared" si="1"/>
        <v>3</v>
      </c>
    </row>
    <row r="39" spans="5:13">
      <c r="E39" s="9">
        <v>29</v>
      </c>
      <c r="F39" s="59" t="s">
        <v>43</v>
      </c>
      <c r="G39" s="60" t="s">
        <v>239</v>
      </c>
      <c r="H39" s="61">
        <v>1</v>
      </c>
      <c r="I39" s="61">
        <v>1</v>
      </c>
      <c r="J39" s="61">
        <v>1</v>
      </c>
      <c r="K39" s="61">
        <v>0</v>
      </c>
      <c r="L39" s="23"/>
      <c r="M39" s="25">
        <f t="shared" si="1"/>
        <v>3</v>
      </c>
    </row>
    <row r="40" spans="5:13">
      <c r="E40" s="9">
        <v>30</v>
      </c>
      <c r="F40" s="59" t="s">
        <v>44</v>
      </c>
      <c r="G40" s="60" t="s">
        <v>240</v>
      </c>
      <c r="H40" s="61">
        <v>1</v>
      </c>
      <c r="I40" s="61">
        <v>1</v>
      </c>
      <c r="J40" s="61">
        <v>1</v>
      </c>
      <c r="K40" s="61">
        <v>1</v>
      </c>
      <c r="L40" s="23"/>
      <c r="M40" s="25">
        <f t="shared" si="1"/>
        <v>4</v>
      </c>
    </row>
    <row r="41" spans="5:13">
      <c r="E41" s="9">
        <v>31</v>
      </c>
      <c r="F41" s="59" t="s">
        <v>45</v>
      </c>
      <c r="G41" s="60" t="s">
        <v>241</v>
      </c>
      <c r="H41" s="61">
        <v>0</v>
      </c>
      <c r="I41" s="61">
        <v>1</v>
      </c>
      <c r="J41" s="61">
        <v>1</v>
      </c>
      <c r="K41" s="61">
        <v>0</v>
      </c>
      <c r="L41" s="23"/>
      <c r="M41" s="25">
        <f t="shared" si="1"/>
        <v>2</v>
      </c>
    </row>
    <row r="42" spans="5:13">
      <c r="E42" s="9">
        <v>32</v>
      </c>
      <c r="F42" s="59" t="s">
        <v>46</v>
      </c>
      <c r="G42" s="60" t="s">
        <v>242</v>
      </c>
      <c r="H42" s="61">
        <v>1</v>
      </c>
      <c r="I42" s="61">
        <v>1</v>
      </c>
      <c r="J42" s="61">
        <v>1</v>
      </c>
      <c r="K42" s="61">
        <v>1</v>
      </c>
      <c r="L42" s="23"/>
      <c r="M42" s="25">
        <f t="shared" si="1"/>
        <v>4</v>
      </c>
    </row>
    <row r="43" spans="5:13">
      <c r="E43" s="9">
        <v>33</v>
      </c>
      <c r="F43" s="59" t="s">
        <v>47</v>
      </c>
      <c r="G43" s="60" t="s">
        <v>243</v>
      </c>
      <c r="H43" s="61">
        <v>1</v>
      </c>
      <c r="I43" s="61">
        <v>0</v>
      </c>
      <c r="J43" s="61">
        <v>1</v>
      </c>
      <c r="K43" s="61">
        <v>1</v>
      </c>
      <c r="L43" s="23"/>
      <c r="M43" s="25">
        <f t="shared" si="1"/>
        <v>3</v>
      </c>
    </row>
    <row r="44" spans="5:13">
      <c r="E44" s="9">
        <v>34</v>
      </c>
      <c r="F44" s="59" t="s">
        <v>48</v>
      </c>
      <c r="G44" s="60" t="s">
        <v>244</v>
      </c>
      <c r="H44" s="61">
        <v>1</v>
      </c>
      <c r="I44" s="61">
        <v>0</v>
      </c>
      <c r="J44" s="61">
        <v>0</v>
      </c>
      <c r="K44" s="61">
        <v>1</v>
      </c>
      <c r="L44" s="23"/>
      <c r="M44" s="25">
        <f t="shared" si="1"/>
        <v>2</v>
      </c>
    </row>
    <row r="45" spans="5:13">
      <c r="E45" s="9">
        <v>35</v>
      </c>
      <c r="F45" s="59" t="s">
        <v>49</v>
      </c>
      <c r="G45" s="60" t="s">
        <v>245</v>
      </c>
      <c r="H45" s="61">
        <v>0</v>
      </c>
      <c r="I45" s="61">
        <v>1</v>
      </c>
      <c r="J45" s="61">
        <v>1</v>
      </c>
      <c r="K45" s="61">
        <v>1</v>
      </c>
      <c r="L45" s="23"/>
      <c r="M45" s="25">
        <f t="shared" si="1"/>
        <v>3</v>
      </c>
    </row>
    <row r="46" spans="5:13">
      <c r="E46" s="9">
        <v>36</v>
      </c>
      <c r="F46" s="59" t="s">
        <v>50</v>
      </c>
      <c r="G46" s="60" t="s">
        <v>246</v>
      </c>
      <c r="H46" s="61">
        <v>1</v>
      </c>
      <c r="I46" s="61">
        <v>0</v>
      </c>
      <c r="J46" s="61">
        <v>1</v>
      </c>
      <c r="K46" s="61">
        <v>0</v>
      </c>
      <c r="L46" s="23"/>
      <c r="M46" s="25">
        <f t="shared" si="1"/>
        <v>2</v>
      </c>
    </row>
    <row r="47" spans="5:13">
      <c r="E47" s="9">
        <v>37</v>
      </c>
      <c r="F47" s="59" t="s">
        <v>51</v>
      </c>
      <c r="G47" s="60" t="s">
        <v>247</v>
      </c>
      <c r="H47" s="61">
        <v>1</v>
      </c>
      <c r="I47" s="61">
        <v>1</v>
      </c>
      <c r="J47" s="61">
        <v>1</v>
      </c>
      <c r="K47" s="61">
        <v>1</v>
      </c>
      <c r="L47" s="23"/>
      <c r="M47" s="25">
        <f t="shared" si="1"/>
        <v>4</v>
      </c>
    </row>
    <row r="48" spans="5:13">
      <c r="E48" s="9">
        <v>38</v>
      </c>
      <c r="F48" s="59" t="s">
        <v>52</v>
      </c>
      <c r="G48" s="60" t="s">
        <v>248</v>
      </c>
      <c r="H48" s="61">
        <v>0</v>
      </c>
      <c r="I48" s="61">
        <v>1</v>
      </c>
      <c r="J48" s="61">
        <v>0</v>
      </c>
      <c r="K48" s="61">
        <v>1</v>
      </c>
      <c r="L48" s="23"/>
      <c r="M48" s="25">
        <f t="shared" si="1"/>
        <v>2</v>
      </c>
    </row>
    <row r="49" spans="5:13">
      <c r="E49" s="9">
        <v>39</v>
      </c>
      <c r="F49" s="59" t="s">
        <v>53</v>
      </c>
      <c r="G49" s="60" t="s">
        <v>249</v>
      </c>
      <c r="H49" s="61">
        <v>1</v>
      </c>
      <c r="I49" s="61">
        <v>1</v>
      </c>
      <c r="J49" s="61">
        <v>1</v>
      </c>
      <c r="K49" s="61">
        <v>1</v>
      </c>
      <c r="L49" s="23"/>
      <c r="M49" s="25">
        <f t="shared" si="1"/>
        <v>4</v>
      </c>
    </row>
    <row r="50" spans="5:13">
      <c r="E50" s="9">
        <v>40</v>
      </c>
      <c r="F50" s="59" t="s">
        <v>54</v>
      </c>
      <c r="G50" s="60" t="s">
        <v>250</v>
      </c>
      <c r="H50" s="61">
        <v>0</v>
      </c>
      <c r="I50" s="61">
        <v>1</v>
      </c>
      <c r="J50" s="61">
        <v>1</v>
      </c>
      <c r="K50" s="61">
        <v>1</v>
      </c>
      <c r="L50" s="23"/>
      <c r="M50" s="25">
        <f t="shared" si="1"/>
        <v>3</v>
      </c>
    </row>
    <row r="51" spans="5:13">
      <c r="E51" s="9">
        <v>41</v>
      </c>
      <c r="F51" s="59" t="s">
        <v>55</v>
      </c>
      <c r="G51" s="60" t="s">
        <v>251</v>
      </c>
      <c r="H51" s="61">
        <v>1</v>
      </c>
      <c r="I51" s="61">
        <v>0</v>
      </c>
      <c r="J51" s="61">
        <v>1</v>
      </c>
      <c r="K51" s="61">
        <v>0</v>
      </c>
      <c r="L51" s="23"/>
      <c r="M51" s="25">
        <f t="shared" si="1"/>
        <v>2</v>
      </c>
    </row>
    <row r="52" spans="5:13">
      <c r="E52" s="9">
        <v>42</v>
      </c>
      <c r="F52" s="59" t="s">
        <v>56</v>
      </c>
      <c r="G52" s="60" t="s">
        <v>252</v>
      </c>
      <c r="H52" s="61">
        <v>1</v>
      </c>
      <c r="I52" s="61">
        <v>1</v>
      </c>
      <c r="J52" s="61">
        <v>1</v>
      </c>
      <c r="K52" s="61">
        <v>1</v>
      </c>
      <c r="L52" s="23"/>
      <c r="M52" s="25">
        <f t="shared" si="1"/>
        <v>4</v>
      </c>
    </row>
    <row r="53" spans="5:13">
      <c r="E53" s="9">
        <v>43</v>
      </c>
      <c r="F53" s="59" t="s">
        <v>57</v>
      </c>
      <c r="G53" s="60" t="s">
        <v>253</v>
      </c>
      <c r="H53" s="61">
        <v>1</v>
      </c>
      <c r="I53" s="61">
        <v>1</v>
      </c>
      <c r="J53" s="61">
        <v>1</v>
      </c>
      <c r="K53" s="61">
        <v>1</v>
      </c>
      <c r="L53" s="23"/>
      <c r="M53" s="25">
        <f t="shared" si="1"/>
        <v>4</v>
      </c>
    </row>
    <row r="54" spans="5:13">
      <c r="E54" s="9">
        <v>44</v>
      </c>
      <c r="F54" s="59" t="s">
        <v>58</v>
      </c>
      <c r="G54" s="60" t="s">
        <v>254</v>
      </c>
      <c r="H54" s="61">
        <v>0</v>
      </c>
      <c r="I54" s="61">
        <v>1</v>
      </c>
      <c r="J54" s="61">
        <v>0</v>
      </c>
      <c r="K54" s="61">
        <v>1</v>
      </c>
      <c r="L54" s="23"/>
      <c r="M54" s="25">
        <f t="shared" si="1"/>
        <v>2</v>
      </c>
    </row>
    <row r="55" spans="5:13">
      <c r="E55" s="9">
        <v>45</v>
      </c>
      <c r="F55" s="59" t="s">
        <v>59</v>
      </c>
      <c r="G55" s="60" t="s">
        <v>255</v>
      </c>
      <c r="H55" s="61">
        <v>1</v>
      </c>
      <c r="I55" s="61">
        <v>1</v>
      </c>
      <c r="J55" s="61">
        <v>1</v>
      </c>
      <c r="K55" s="61">
        <v>0</v>
      </c>
      <c r="L55" s="23"/>
      <c r="M55" s="25">
        <f t="shared" si="1"/>
        <v>3</v>
      </c>
    </row>
    <row r="56" spans="5:13">
      <c r="E56" s="9">
        <v>46</v>
      </c>
      <c r="F56" s="59" t="s">
        <v>60</v>
      </c>
      <c r="G56" s="60" t="s">
        <v>256</v>
      </c>
      <c r="H56" s="61">
        <v>0</v>
      </c>
      <c r="I56" s="61">
        <v>1</v>
      </c>
      <c r="J56" s="61">
        <v>1</v>
      </c>
      <c r="K56" s="61">
        <v>1</v>
      </c>
      <c r="L56" s="23"/>
      <c r="M56" s="25">
        <f t="shared" si="1"/>
        <v>3</v>
      </c>
    </row>
    <row r="57" spans="5:13">
      <c r="E57" s="9">
        <v>47</v>
      </c>
      <c r="F57" s="59" t="s">
        <v>61</v>
      </c>
      <c r="G57" s="60" t="s">
        <v>257</v>
      </c>
      <c r="H57" s="61">
        <v>1</v>
      </c>
      <c r="I57" s="61">
        <v>1</v>
      </c>
      <c r="J57" s="61">
        <v>1</v>
      </c>
      <c r="K57" s="61">
        <v>1</v>
      </c>
      <c r="L57" s="23"/>
      <c r="M57" s="25">
        <f t="shared" si="1"/>
        <v>4</v>
      </c>
    </row>
    <row r="58" spans="5:13">
      <c r="E58" s="9">
        <v>48</v>
      </c>
      <c r="F58" s="59" t="s">
        <v>62</v>
      </c>
      <c r="G58" s="60" t="s">
        <v>258</v>
      </c>
      <c r="H58" s="61">
        <v>1</v>
      </c>
      <c r="I58" s="61">
        <v>1</v>
      </c>
      <c r="J58" s="61">
        <v>1</v>
      </c>
      <c r="K58" s="61">
        <v>1</v>
      </c>
      <c r="L58" s="23"/>
      <c r="M58" s="25">
        <f t="shared" si="1"/>
        <v>4</v>
      </c>
    </row>
    <row r="59" spans="5:13">
      <c r="E59" s="9">
        <v>49</v>
      </c>
      <c r="F59" s="59" t="s">
        <v>63</v>
      </c>
      <c r="G59" s="60" t="s">
        <v>259</v>
      </c>
      <c r="H59" s="61">
        <v>1</v>
      </c>
      <c r="I59" s="61">
        <v>0</v>
      </c>
      <c r="J59" s="61">
        <v>1</v>
      </c>
      <c r="K59" s="61">
        <v>0</v>
      </c>
      <c r="L59" s="23"/>
      <c r="M59" s="25">
        <f t="shared" si="1"/>
        <v>2</v>
      </c>
    </row>
    <row r="60" spans="5:13">
      <c r="E60" s="9">
        <v>50</v>
      </c>
      <c r="F60" s="59" t="s">
        <v>64</v>
      </c>
      <c r="G60" s="60" t="s">
        <v>260</v>
      </c>
      <c r="H60" s="61">
        <v>1</v>
      </c>
      <c r="I60" s="61">
        <v>1</v>
      </c>
      <c r="J60" s="61">
        <v>1</v>
      </c>
      <c r="K60" s="61">
        <v>1</v>
      </c>
      <c r="L60" s="23"/>
      <c r="M60" s="25">
        <f t="shared" si="1"/>
        <v>4</v>
      </c>
    </row>
    <row r="61" spans="5:13">
      <c r="E61" s="9">
        <v>51</v>
      </c>
      <c r="F61" s="59" t="s">
        <v>65</v>
      </c>
      <c r="G61" s="60" t="s">
        <v>261</v>
      </c>
      <c r="H61" s="61">
        <v>0</v>
      </c>
      <c r="I61" s="61">
        <v>1</v>
      </c>
      <c r="J61" s="61">
        <v>1</v>
      </c>
      <c r="K61" s="61">
        <v>1</v>
      </c>
      <c r="L61" s="23"/>
      <c r="M61" s="25">
        <f t="shared" si="1"/>
        <v>3</v>
      </c>
    </row>
    <row r="62" spans="5:13">
      <c r="E62" s="9">
        <v>52</v>
      </c>
      <c r="F62" s="59" t="s">
        <v>66</v>
      </c>
      <c r="G62" s="60" t="s">
        <v>262</v>
      </c>
      <c r="H62" s="61">
        <v>1</v>
      </c>
      <c r="I62" s="61">
        <v>1</v>
      </c>
      <c r="J62" s="61">
        <v>1</v>
      </c>
      <c r="K62" s="61">
        <v>1</v>
      </c>
      <c r="L62" s="23"/>
      <c r="M62" s="25">
        <f t="shared" si="1"/>
        <v>4</v>
      </c>
    </row>
    <row r="63" spans="5:13">
      <c r="E63" s="9">
        <v>53</v>
      </c>
      <c r="F63" s="59" t="s">
        <v>67</v>
      </c>
      <c r="G63" s="60" t="s">
        <v>263</v>
      </c>
      <c r="H63" s="61">
        <v>1</v>
      </c>
      <c r="I63" s="61">
        <v>1</v>
      </c>
      <c r="J63" s="61">
        <v>1</v>
      </c>
      <c r="K63" s="61">
        <v>0</v>
      </c>
      <c r="L63" s="23"/>
      <c r="M63" s="25">
        <f t="shared" si="1"/>
        <v>3</v>
      </c>
    </row>
    <row r="64" spans="5:13">
      <c r="E64" s="9">
        <v>54</v>
      </c>
      <c r="F64" s="59" t="s">
        <v>68</v>
      </c>
      <c r="G64" s="60" t="s">
        <v>264</v>
      </c>
      <c r="H64" s="61">
        <v>1</v>
      </c>
      <c r="I64" s="61">
        <v>1</v>
      </c>
      <c r="J64" s="61">
        <v>1</v>
      </c>
      <c r="K64" s="61">
        <v>1</v>
      </c>
      <c r="L64" s="23"/>
      <c r="M64" s="25">
        <f t="shared" si="1"/>
        <v>4</v>
      </c>
    </row>
    <row r="65" spans="5:13">
      <c r="E65" s="9">
        <v>55</v>
      </c>
      <c r="F65" s="59" t="s">
        <v>69</v>
      </c>
      <c r="G65" s="60" t="s">
        <v>265</v>
      </c>
      <c r="H65" s="61">
        <v>0</v>
      </c>
      <c r="I65" s="61">
        <v>1</v>
      </c>
      <c r="J65" s="61">
        <v>1</v>
      </c>
      <c r="K65" s="61">
        <v>1</v>
      </c>
      <c r="L65" s="23"/>
      <c r="M65" s="25">
        <f t="shared" si="1"/>
        <v>3</v>
      </c>
    </row>
    <row r="66" spans="5:13">
      <c r="E66" s="9">
        <v>56</v>
      </c>
      <c r="F66" s="59" t="s">
        <v>70</v>
      </c>
      <c r="G66" s="60" t="s">
        <v>266</v>
      </c>
      <c r="H66" s="61">
        <v>1</v>
      </c>
      <c r="I66" s="61">
        <v>1</v>
      </c>
      <c r="J66" s="61">
        <v>1</v>
      </c>
      <c r="K66" s="61">
        <v>1</v>
      </c>
      <c r="L66" s="23"/>
      <c r="M66" s="25">
        <f t="shared" si="1"/>
        <v>4</v>
      </c>
    </row>
    <row r="67" spans="5:13">
      <c r="E67" s="9">
        <v>57</v>
      </c>
      <c r="F67" s="59" t="s">
        <v>71</v>
      </c>
      <c r="G67" s="60" t="s">
        <v>267</v>
      </c>
      <c r="H67" s="61">
        <v>1</v>
      </c>
      <c r="I67" s="61">
        <v>1</v>
      </c>
      <c r="J67" s="61">
        <v>0</v>
      </c>
      <c r="K67" s="61">
        <v>1</v>
      </c>
      <c r="L67" s="23"/>
      <c r="M67" s="25">
        <f t="shared" si="1"/>
        <v>3</v>
      </c>
    </row>
    <row r="68" spans="5:13">
      <c r="E68" s="9">
        <v>58</v>
      </c>
      <c r="F68" s="59" t="s">
        <v>72</v>
      </c>
      <c r="G68" s="60" t="s">
        <v>268</v>
      </c>
      <c r="H68" s="61">
        <v>1</v>
      </c>
      <c r="I68" s="61">
        <v>1</v>
      </c>
      <c r="J68" s="61">
        <v>1</v>
      </c>
      <c r="K68" s="61">
        <v>1</v>
      </c>
      <c r="L68" s="23"/>
      <c r="M68" s="25">
        <f t="shared" si="1"/>
        <v>4</v>
      </c>
    </row>
    <row r="69" spans="5:13">
      <c r="E69" s="9">
        <v>59</v>
      </c>
      <c r="F69" s="59" t="s">
        <v>73</v>
      </c>
      <c r="G69" s="60" t="s">
        <v>269</v>
      </c>
      <c r="H69" s="61">
        <v>1</v>
      </c>
      <c r="I69" s="61">
        <v>0</v>
      </c>
      <c r="J69" s="61">
        <v>1</v>
      </c>
      <c r="K69" s="61">
        <v>1</v>
      </c>
      <c r="L69" s="23"/>
      <c r="M69" s="25">
        <f t="shared" si="1"/>
        <v>3</v>
      </c>
    </row>
    <row r="70" spans="5:13">
      <c r="E70" s="9">
        <v>60</v>
      </c>
      <c r="F70" s="59" t="s">
        <v>74</v>
      </c>
      <c r="G70" s="60" t="s">
        <v>270</v>
      </c>
      <c r="H70" s="61">
        <v>1</v>
      </c>
      <c r="I70" s="61">
        <v>1</v>
      </c>
      <c r="J70" s="61">
        <v>0</v>
      </c>
      <c r="K70" s="61">
        <v>1</v>
      </c>
      <c r="L70" s="23"/>
      <c r="M70" s="25">
        <f t="shared" si="1"/>
        <v>3</v>
      </c>
    </row>
    <row r="71" spans="5:13">
      <c r="E71" s="9">
        <v>61</v>
      </c>
      <c r="F71" s="59" t="s">
        <v>75</v>
      </c>
      <c r="G71" s="60" t="s">
        <v>271</v>
      </c>
      <c r="H71" s="61">
        <v>1</v>
      </c>
      <c r="I71" s="61">
        <v>1</v>
      </c>
      <c r="J71" s="61">
        <v>1</v>
      </c>
      <c r="K71" s="61">
        <v>1</v>
      </c>
      <c r="L71" s="23"/>
      <c r="M71" s="25">
        <f t="shared" si="1"/>
        <v>4</v>
      </c>
    </row>
    <row r="72" spans="5:13">
      <c r="E72" s="9">
        <v>62</v>
      </c>
      <c r="F72" s="59" t="s">
        <v>76</v>
      </c>
      <c r="G72" s="60" t="s">
        <v>272</v>
      </c>
      <c r="H72" s="61">
        <v>0</v>
      </c>
      <c r="I72" s="61">
        <v>1</v>
      </c>
      <c r="J72" s="61">
        <v>1</v>
      </c>
      <c r="K72" s="61">
        <v>1</v>
      </c>
      <c r="L72" s="23"/>
      <c r="M72" s="25">
        <f t="shared" si="1"/>
        <v>3</v>
      </c>
    </row>
    <row r="73" spans="5:13">
      <c r="E73" s="9">
        <v>63</v>
      </c>
      <c r="F73" s="59" t="s">
        <v>77</v>
      </c>
      <c r="G73" s="60" t="s">
        <v>273</v>
      </c>
      <c r="H73" s="61">
        <v>1</v>
      </c>
      <c r="I73" s="61">
        <v>1</v>
      </c>
      <c r="J73" s="61">
        <v>1</v>
      </c>
      <c r="K73" s="61">
        <v>1</v>
      </c>
      <c r="L73" s="23"/>
      <c r="M73" s="25">
        <f t="shared" si="1"/>
        <v>4</v>
      </c>
    </row>
    <row r="74" spans="5:13">
      <c r="E74" s="9">
        <v>64</v>
      </c>
      <c r="F74" s="59" t="s">
        <v>78</v>
      </c>
      <c r="G74" s="60" t="s">
        <v>274</v>
      </c>
      <c r="H74" s="61">
        <v>1</v>
      </c>
      <c r="I74" s="61">
        <v>0</v>
      </c>
      <c r="J74" s="61">
        <v>1</v>
      </c>
      <c r="K74" s="61">
        <v>0</v>
      </c>
      <c r="L74" s="23"/>
      <c r="M74" s="25">
        <f t="shared" si="1"/>
        <v>2</v>
      </c>
    </row>
    <row r="75" spans="5:13">
      <c r="E75" s="9">
        <v>65</v>
      </c>
      <c r="F75" s="59" t="s">
        <v>79</v>
      </c>
      <c r="G75" s="60" t="s">
        <v>275</v>
      </c>
      <c r="H75" s="61">
        <v>1</v>
      </c>
      <c r="I75" s="61">
        <v>1</v>
      </c>
      <c r="J75" s="61">
        <v>1</v>
      </c>
      <c r="K75" s="61">
        <v>1</v>
      </c>
      <c r="L75" s="23"/>
      <c r="M75" s="25">
        <f t="shared" si="1"/>
        <v>4</v>
      </c>
    </row>
    <row r="76" spans="5:13">
      <c r="E76" s="9">
        <v>66</v>
      </c>
      <c r="F76" s="59" t="s">
        <v>80</v>
      </c>
      <c r="G76" s="60" t="s">
        <v>276</v>
      </c>
      <c r="H76" s="61">
        <v>0</v>
      </c>
      <c r="I76" s="61">
        <v>1</v>
      </c>
      <c r="J76" s="61">
        <v>0</v>
      </c>
      <c r="K76" s="61">
        <v>1</v>
      </c>
      <c r="L76" s="23"/>
      <c r="M76" s="25">
        <f t="shared" si="1"/>
        <v>2</v>
      </c>
    </row>
    <row r="77" spans="5:13">
      <c r="E77" s="9">
        <v>67</v>
      </c>
      <c r="F77" s="59" t="s">
        <v>81</v>
      </c>
      <c r="G77" s="60" t="s">
        <v>277</v>
      </c>
      <c r="H77" s="61">
        <v>1</v>
      </c>
      <c r="I77" s="61">
        <v>1</v>
      </c>
      <c r="J77" s="61">
        <v>1</v>
      </c>
      <c r="K77" s="61">
        <v>1</v>
      </c>
      <c r="L77" s="23"/>
      <c r="M77" s="25">
        <f t="shared" si="1"/>
        <v>4</v>
      </c>
    </row>
    <row r="78" spans="5:13">
      <c r="E78" s="9">
        <v>68</v>
      </c>
      <c r="F78" s="59" t="s">
        <v>82</v>
      </c>
      <c r="G78" s="60" t="s">
        <v>278</v>
      </c>
      <c r="H78" s="61">
        <v>1</v>
      </c>
      <c r="I78" s="61">
        <v>0</v>
      </c>
      <c r="J78" s="61">
        <v>1</v>
      </c>
      <c r="K78" s="61">
        <v>1</v>
      </c>
      <c r="L78" s="23"/>
      <c r="M78" s="25">
        <f t="shared" si="1"/>
        <v>3</v>
      </c>
    </row>
    <row r="79" spans="5:13">
      <c r="E79" s="9">
        <v>69</v>
      </c>
      <c r="F79" s="59" t="s">
        <v>83</v>
      </c>
      <c r="G79" s="60" t="s">
        <v>279</v>
      </c>
      <c r="H79" s="61">
        <v>0</v>
      </c>
      <c r="I79" s="61">
        <v>1</v>
      </c>
      <c r="J79" s="61">
        <v>1</v>
      </c>
      <c r="K79" s="61">
        <v>1</v>
      </c>
      <c r="L79" s="23"/>
      <c r="M79" s="25">
        <f t="shared" ref="M79:M142" si="2">(H79+I79+J79+K79+L79)</f>
        <v>3</v>
      </c>
    </row>
    <row r="80" spans="5:13">
      <c r="E80" s="9">
        <v>70</v>
      </c>
      <c r="F80" s="59" t="s">
        <v>84</v>
      </c>
      <c r="G80" s="60" t="s">
        <v>280</v>
      </c>
      <c r="H80" s="61">
        <v>1</v>
      </c>
      <c r="I80" s="61">
        <v>1</v>
      </c>
      <c r="J80" s="61">
        <v>1</v>
      </c>
      <c r="K80" s="61">
        <v>0</v>
      </c>
      <c r="L80" s="23"/>
      <c r="M80" s="25">
        <f t="shared" si="2"/>
        <v>3</v>
      </c>
    </row>
    <row r="81" spans="5:13">
      <c r="E81" s="9">
        <v>71</v>
      </c>
      <c r="F81" s="59" t="s">
        <v>85</v>
      </c>
      <c r="G81" s="60" t="s">
        <v>281</v>
      </c>
      <c r="H81" s="61">
        <v>1</v>
      </c>
      <c r="I81" s="61">
        <v>0</v>
      </c>
      <c r="J81" s="61">
        <v>0</v>
      </c>
      <c r="K81" s="61">
        <v>1</v>
      </c>
      <c r="L81" s="23"/>
      <c r="M81" s="25">
        <f t="shared" si="2"/>
        <v>2</v>
      </c>
    </row>
    <row r="82" spans="5:13">
      <c r="E82" s="9">
        <v>72</v>
      </c>
      <c r="F82" s="59" t="s">
        <v>86</v>
      </c>
      <c r="G82" s="60" t="s">
        <v>282</v>
      </c>
      <c r="H82" s="61">
        <v>1</v>
      </c>
      <c r="I82" s="61">
        <v>1</v>
      </c>
      <c r="J82" s="61">
        <v>1</v>
      </c>
      <c r="K82" s="61">
        <v>1</v>
      </c>
      <c r="L82" s="23"/>
      <c r="M82" s="25">
        <f t="shared" si="2"/>
        <v>4</v>
      </c>
    </row>
    <row r="83" spans="5:13">
      <c r="E83" s="9">
        <v>73</v>
      </c>
      <c r="F83" s="59" t="s">
        <v>87</v>
      </c>
      <c r="G83" s="60" t="s">
        <v>283</v>
      </c>
      <c r="H83" s="61">
        <v>0</v>
      </c>
      <c r="I83" s="61">
        <v>1</v>
      </c>
      <c r="J83" s="61">
        <v>1</v>
      </c>
      <c r="K83" s="61">
        <v>1</v>
      </c>
      <c r="L83" s="23"/>
      <c r="M83" s="25">
        <f t="shared" si="2"/>
        <v>3</v>
      </c>
    </row>
    <row r="84" spans="5:13">
      <c r="E84" s="9">
        <v>74</v>
      </c>
      <c r="F84" s="59" t="s">
        <v>88</v>
      </c>
      <c r="G84" s="60" t="s">
        <v>284</v>
      </c>
      <c r="H84" s="61">
        <v>1</v>
      </c>
      <c r="I84" s="61">
        <v>0</v>
      </c>
      <c r="J84" s="61">
        <v>1</v>
      </c>
      <c r="K84" s="61">
        <v>0</v>
      </c>
      <c r="L84" s="23"/>
      <c r="M84" s="25">
        <f t="shared" si="2"/>
        <v>2</v>
      </c>
    </row>
    <row r="85" spans="5:13">
      <c r="E85" s="9">
        <v>75</v>
      </c>
      <c r="F85" s="59" t="s">
        <v>89</v>
      </c>
      <c r="G85" s="60" t="s">
        <v>285</v>
      </c>
      <c r="H85" s="61">
        <v>1</v>
      </c>
      <c r="I85" s="61">
        <v>1</v>
      </c>
      <c r="J85" s="61">
        <v>1</v>
      </c>
      <c r="K85" s="61">
        <v>1</v>
      </c>
      <c r="L85" s="23"/>
      <c r="M85" s="25">
        <f t="shared" si="2"/>
        <v>4</v>
      </c>
    </row>
    <row r="86" spans="5:13">
      <c r="E86" s="9">
        <v>76</v>
      </c>
      <c r="F86" s="59" t="s">
        <v>90</v>
      </c>
      <c r="G86" s="60" t="s">
        <v>286</v>
      </c>
      <c r="H86" s="61">
        <v>1</v>
      </c>
      <c r="I86" s="61">
        <v>1</v>
      </c>
      <c r="J86" s="61">
        <v>1</v>
      </c>
      <c r="K86" s="61">
        <v>1</v>
      </c>
      <c r="L86" s="23"/>
      <c r="M86" s="25">
        <f t="shared" si="2"/>
        <v>4</v>
      </c>
    </row>
    <row r="87" spans="5:13">
      <c r="E87" s="9">
        <v>77</v>
      </c>
      <c r="F87" s="59" t="s">
        <v>91</v>
      </c>
      <c r="G87" s="60" t="s">
        <v>287</v>
      </c>
      <c r="H87" s="61">
        <v>1</v>
      </c>
      <c r="I87" s="61">
        <v>1</v>
      </c>
      <c r="J87" s="61">
        <v>1</v>
      </c>
      <c r="K87" s="61">
        <v>1</v>
      </c>
      <c r="L87" s="23"/>
      <c r="M87" s="25">
        <f t="shared" si="2"/>
        <v>4</v>
      </c>
    </row>
    <row r="88" spans="5:13">
      <c r="E88" s="9">
        <v>78</v>
      </c>
      <c r="F88" s="59" t="s">
        <v>92</v>
      </c>
      <c r="G88" s="60" t="s">
        <v>288</v>
      </c>
      <c r="H88" s="61">
        <v>1</v>
      </c>
      <c r="I88" s="61">
        <v>0</v>
      </c>
      <c r="J88" s="61">
        <v>1</v>
      </c>
      <c r="K88" s="61">
        <v>0</v>
      </c>
      <c r="L88" s="23"/>
      <c r="M88" s="25">
        <f t="shared" si="2"/>
        <v>2</v>
      </c>
    </row>
    <row r="89" spans="5:13">
      <c r="E89" s="9">
        <v>79</v>
      </c>
      <c r="F89" s="59" t="s">
        <v>93</v>
      </c>
      <c r="G89" s="60" t="s">
        <v>289</v>
      </c>
      <c r="H89" s="61">
        <v>0</v>
      </c>
      <c r="I89" s="61">
        <v>1</v>
      </c>
      <c r="J89" s="61">
        <v>0</v>
      </c>
      <c r="K89" s="61">
        <v>1</v>
      </c>
      <c r="L89" s="23"/>
      <c r="M89" s="25">
        <f t="shared" si="2"/>
        <v>2</v>
      </c>
    </row>
    <row r="90" spans="5:13">
      <c r="E90" s="9">
        <v>80</v>
      </c>
      <c r="F90" s="59" t="s">
        <v>94</v>
      </c>
      <c r="G90" s="60" t="s">
        <v>290</v>
      </c>
      <c r="H90" s="61">
        <v>1</v>
      </c>
      <c r="I90" s="61">
        <v>1</v>
      </c>
      <c r="J90" s="61">
        <v>1</v>
      </c>
      <c r="K90" s="61">
        <v>0</v>
      </c>
      <c r="L90" s="23"/>
      <c r="M90" s="25">
        <f t="shared" si="2"/>
        <v>3</v>
      </c>
    </row>
    <row r="91" spans="5:13">
      <c r="E91" s="9">
        <v>81</v>
      </c>
      <c r="F91" s="59" t="s">
        <v>95</v>
      </c>
      <c r="G91" s="60" t="s">
        <v>291</v>
      </c>
      <c r="H91" s="61">
        <v>1</v>
      </c>
      <c r="I91" s="61">
        <v>1</v>
      </c>
      <c r="J91" s="61">
        <v>1</v>
      </c>
      <c r="K91" s="61">
        <v>1</v>
      </c>
      <c r="L91" s="23"/>
      <c r="M91" s="25">
        <f t="shared" si="2"/>
        <v>4</v>
      </c>
    </row>
    <row r="92" spans="5:13">
      <c r="E92" s="9">
        <v>82</v>
      </c>
      <c r="F92" s="59" t="s">
        <v>96</v>
      </c>
      <c r="G92" s="60" t="s">
        <v>292</v>
      </c>
      <c r="H92" s="61">
        <v>1</v>
      </c>
      <c r="I92" s="61">
        <v>1</v>
      </c>
      <c r="J92" s="61">
        <v>0</v>
      </c>
      <c r="K92" s="61">
        <v>1</v>
      </c>
      <c r="L92" s="23"/>
      <c r="M92" s="25">
        <f t="shared" si="2"/>
        <v>3</v>
      </c>
    </row>
    <row r="93" spans="5:13">
      <c r="E93" s="9">
        <v>83</v>
      </c>
      <c r="F93" s="59" t="s">
        <v>97</v>
      </c>
      <c r="G93" s="60" t="s">
        <v>293</v>
      </c>
      <c r="H93" s="61">
        <v>0</v>
      </c>
      <c r="I93" s="61">
        <v>1</v>
      </c>
      <c r="J93" s="61">
        <v>1</v>
      </c>
      <c r="K93" s="61">
        <v>1</v>
      </c>
      <c r="L93" s="23"/>
      <c r="M93" s="25">
        <f t="shared" si="2"/>
        <v>3</v>
      </c>
    </row>
    <row r="94" spans="5:13">
      <c r="E94" s="9">
        <v>84</v>
      </c>
      <c r="F94" s="59" t="s">
        <v>98</v>
      </c>
      <c r="G94" s="60" t="s">
        <v>294</v>
      </c>
      <c r="H94" s="61">
        <v>1</v>
      </c>
      <c r="I94" s="61">
        <v>1</v>
      </c>
      <c r="J94" s="61">
        <v>1</v>
      </c>
      <c r="K94" s="61">
        <v>1</v>
      </c>
      <c r="L94" s="23"/>
      <c r="M94" s="25">
        <f t="shared" si="2"/>
        <v>4</v>
      </c>
    </row>
    <row r="95" spans="5:13">
      <c r="E95" s="9">
        <v>85</v>
      </c>
      <c r="F95" s="59" t="s">
        <v>99</v>
      </c>
      <c r="G95" s="60" t="s">
        <v>295</v>
      </c>
      <c r="H95" s="61">
        <v>1</v>
      </c>
      <c r="I95" s="61">
        <v>1</v>
      </c>
      <c r="J95" s="61">
        <v>1</v>
      </c>
      <c r="K95" s="61">
        <v>1</v>
      </c>
      <c r="L95" s="23"/>
      <c r="M95" s="25">
        <f t="shared" si="2"/>
        <v>4</v>
      </c>
    </row>
    <row r="96" spans="5:13">
      <c r="E96" s="9">
        <v>86</v>
      </c>
      <c r="F96" s="59" t="s">
        <v>100</v>
      </c>
      <c r="G96" s="60" t="s">
        <v>296</v>
      </c>
      <c r="H96" s="61">
        <v>1</v>
      </c>
      <c r="I96" s="61">
        <v>1</v>
      </c>
      <c r="J96" s="61">
        <v>1</v>
      </c>
      <c r="K96" s="61">
        <v>1</v>
      </c>
      <c r="L96" s="23"/>
      <c r="M96" s="25">
        <f t="shared" si="2"/>
        <v>4</v>
      </c>
    </row>
    <row r="97" spans="5:13">
      <c r="E97" s="9">
        <v>87</v>
      </c>
      <c r="F97" s="59" t="s">
        <v>101</v>
      </c>
      <c r="G97" s="60" t="s">
        <v>297</v>
      </c>
      <c r="H97" s="61">
        <v>0</v>
      </c>
      <c r="I97" s="61">
        <v>0</v>
      </c>
      <c r="J97" s="61">
        <v>1</v>
      </c>
      <c r="K97" s="61">
        <v>0</v>
      </c>
      <c r="L97" s="23"/>
      <c r="M97" s="25">
        <f t="shared" si="2"/>
        <v>1</v>
      </c>
    </row>
    <row r="98" spans="5:13">
      <c r="E98" s="9">
        <v>88</v>
      </c>
      <c r="F98" s="59" t="s">
        <v>102</v>
      </c>
      <c r="G98" s="60" t="s">
        <v>298</v>
      </c>
      <c r="H98" s="61">
        <v>1</v>
      </c>
      <c r="I98" s="61">
        <v>1</v>
      </c>
      <c r="J98" s="61">
        <v>0</v>
      </c>
      <c r="K98" s="61">
        <v>1</v>
      </c>
      <c r="L98" s="23"/>
      <c r="M98" s="25">
        <f t="shared" si="2"/>
        <v>3</v>
      </c>
    </row>
    <row r="99" spans="5:13">
      <c r="E99" s="9">
        <v>89</v>
      </c>
      <c r="F99" s="59" t="s">
        <v>103</v>
      </c>
      <c r="G99" s="60" t="s">
        <v>299</v>
      </c>
      <c r="H99" s="61">
        <v>1</v>
      </c>
      <c r="I99" s="61">
        <v>1</v>
      </c>
      <c r="J99" s="61">
        <v>1</v>
      </c>
      <c r="K99" s="61">
        <v>0</v>
      </c>
      <c r="L99" s="23"/>
      <c r="M99" s="25">
        <f t="shared" si="2"/>
        <v>3</v>
      </c>
    </row>
    <row r="100" spans="5:13">
      <c r="E100" s="9">
        <v>90</v>
      </c>
      <c r="F100" s="59" t="s">
        <v>104</v>
      </c>
      <c r="G100" s="60" t="s">
        <v>300</v>
      </c>
      <c r="H100" s="61">
        <v>0</v>
      </c>
      <c r="I100" s="61">
        <v>1</v>
      </c>
      <c r="J100" s="61">
        <v>1</v>
      </c>
      <c r="K100" s="61">
        <v>1</v>
      </c>
      <c r="L100" s="23"/>
      <c r="M100" s="25">
        <f t="shared" si="2"/>
        <v>3</v>
      </c>
    </row>
    <row r="101" spans="5:13">
      <c r="E101" s="9">
        <v>91</v>
      </c>
      <c r="F101" s="59" t="s">
        <v>105</v>
      </c>
      <c r="G101" s="60" t="s">
        <v>301</v>
      </c>
      <c r="H101" s="61">
        <v>1</v>
      </c>
      <c r="I101" s="61">
        <v>1</v>
      </c>
      <c r="J101" s="61">
        <v>0</v>
      </c>
      <c r="K101" s="61">
        <v>1</v>
      </c>
      <c r="L101" s="23"/>
      <c r="M101" s="25">
        <f t="shared" si="2"/>
        <v>3</v>
      </c>
    </row>
    <row r="102" spans="5:13">
      <c r="E102" s="9">
        <v>92</v>
      </c>
      <c r="F102" s="59" t="s">
        <v>106</v>
      </c>
      <c r="G102" s="60" t="s">
        <v>302</v>
      </c>
      <c r="H102" s="61">
        <v>1</v>
      </c>
      <c r="I102" s="61">
        <v>1</v>
      </c>
      <c r="J102" s="61">
        <v>1</v>
      </c>
      <c r="K102" s="61">
        <v>1</v>
      </c>
      <c r="L102" s="23"/>
      <c r="M102" s="25">
        <f t="shared" si="2"/>
        <v>4</v>
      </c>
    </row>
    <row r="103" spans="5:13">
      <c r="E103" s="9">
        <v>93</v>
      </c>
      <c r="F103" s="59" t="s">
        <v>107</v>
      </c>
      <c r="G103" s="60" t="s">
        <v>303</v>
      </c>
      <c r="H103" s="61">
        <v>1</v>
      </c>
      <c r="I103" s="61">
        <v>1</v>
      </c>
      <c r="J103" s="61">
        <v>1</v>
      </c>
      <c r="K103" s="61">
        <v>1</v>
      </c>
      <c r="L103" s="23"/>
      <c r="M103" s="25">
        <f t="shared" si="2"/>
        <v>4</v>
      </c>
    </row>
    <row r="104" spans="5:13">
      <c r="E104" s="9">
        <v>94</v>
      </c>
      <c r="F104" s="59" t="s">
        <v>108</v>
      </c>
      <c r="G104" s="60" t="s">
        <v>304</v>
      </c>
      <c r="H104" s="61">
        <v>1</v>
      </c>
      <c r="I104" s="61">
        <v>1</v>
      </c>
      <c r="J104" s="61">
        <v>0</v>
      </c>
      <c r="K104" s="61">
        <v>1</v>
      </c>
      <c r="L104" s="23"/>
      <c r="M104" s="25">
        <f t="shared" si="2"/>
        <v>3</v>
      </c>
    </row>
    <row r="105" spans="5:13">
      <c r="E105" s="9">
        <v>95</v>
      </c>
      <c r="F105" s="59" t="s">
        <v>109</v>
      </c>
      <c r="G105" s="60" t="s">
        <v>305</v>
      </c>
      <c r="H105" s="61">
        <v>1</v>
      </c>
      <c r="I105" s="61">
        <v>1</v>
      </c>
      <c r="J105" s="61">
        <v>1</v>
      </c>
      <c r="K105" s="61">
        <v>0</v>
      </c>
      <c r="L105" s="23"/>
      <c r="M105" s="25">
        <f t="shared" si="2"/>
        <v>3</v>
      </c>
    </row>
    <row r="106" spans="5:13">
      <c r="E106" s="9">
        <v>96</v>
      </c>
      <c r="F106" s="59" t="s">
        <v>110</v>
      </c>
      <c r="G106" s="60" t="s">
        <v>306</v>
      </c>
      <c r="H106" s="61">
        <v>1</v>
      </c>
      <c r="I106" s="61">
        <v>1</v>
      </c>
      <c r="J106" s="61">
        <v>1</v>
      </c>
      <c r="K106" s="61">
        <v>0</v>
      </c>
      <c r="L106" s="23"/>
      <c r="M106" s="25">
        <f t="shared" si="2"/>
        <v>3</v>
      </c>
    </row>
    <row r="107" spans="5:13">
      <c r="E107" s="9">
        <v>97</v>
      </c>
      <c r="F107" s="59" t="s">
        <v>111</v>
      </c>
      <c r="G107" s="60" t="s">
        <v>307</v>
      </c>
      <c r="H107" s="61">
        <v>1</v>
      </c>
      <c r="I107" s="61">
        <v>0</v>
      </c>
      <c r="J107" s="61">
        <v>0</v>
      </c>
      <c r="K107" s="61">
        <v>1</v>
      </c>
      <c r="L107" s="23"/>
      <c r="M107" s="25">
        <f t="shared" si="2"/>
        <v>2</v>
      </c>
    </row>
    <row r="108" spans="5:13">
      <c r="E108" s="9">
        <v>98</v>
      </c>
      <c r="F108" s="59" t="s">
        <v>112</v>
      </c>
      <c r="G108" s="60" t="s">
        <v>308</v>
      </c>
      <c r="H108" s="61">
        <v>0</v>
      </c>
      <c r="I108" s="61">
        <v>1</v>
      </c>
      <c r="J108" s="61">
        <v>1</v>
      </c>
      <c r="K108" s="61">
        <v>1</v>
      </c>
      <c r="L108" s="23"/>
      <c r="M108" s="25">
        <f t="shared" si="2"/>
        <v>3</v>
      </c>
    </row>
    <row r="109" spans="5:13">
      <c r="E109" s="9">
        <v>99</v>
      </c>
      <c r="F109" s="59" t="s">
        <v>113</v>
      </c>
      <c r="G109" s="60" t="s">
        <v>309</v>
      </c>
      <c r="H109" s="61">
        <v>1</v>
      </c>
      <c r="I109" s="61">
        <v>1</v>
      </c>
      <c r="J109" s="61">
        <v>1</v>
      </c>
      <c r="K109" s="61">
        <v>1</v>
      </c>
      <c r="L109" s="23"/>
      <c r="M109" s="25">
        <f t="shared" si="2"/>
        <v>4</v>
      </c>
    </row>
    <row r="110" spans="5:13">
      <c r="E110" s="9">
        <v>100</v>
      </c>
      <c r="F110" s="59" t="s">
        <v>114</v>
      </c>
      <c r="G110" s="60" t="s">
        <v>310</v>
      </c>
      <c r="H110" s="61">
        <v>1</v>
      </c>
      <c r="I110" s="61">
        <v>1</v>
      </c>
      <c r="J110" s="61">
        <v>0</v>
      </c>
      <c r="K110" s="61">
        <v>1</v>
      </c>
      <c r="L110" s="23"/>
      <c r="M110" s="25">
        <f t="shared" si="2"/>
        <v>3</v>
      </c>
    </row>
    <row r="111" spans="5:13">
      <c r="E111" s="9">
        <v>101</v>
      </c>
      <c r="F111" s="59" t="s">
        <v>115</v>
      </c>
      <c r="G111" s="60" t="s">
        <v>311</v>
      </c>
      <c r="H111" s="61">
        <v>1</v>
      </c>
      <c r="I111" s="61">
        <v>1</v>
      </c>
      <c r="J111" s="61">
        <v>1</v>
      </c>
      <c r="K111" s="61">
        <v>0</v>
      </c>
      <c r="L111" s="23"/>
      <c r="M111" s="25">
        <f t="shared" si="2"/>
        <v>3</v>
      </c>
    </row>
    <row r="112" spans="5:13">
      <c r="E112" s="9">
        <v>102</v>
      </c>
      <c r="F112" s="59" t="s">
        <v>116</v>
      </c>
      <c r="G112" s="60" t="s">
        <v>312</v>
      </c>
      <c r="H112" s="61">
        <v>0</v>
      </c>
      <c r="I112" s="61">
        <v>1</v>
      </c>
      <c r="J112" s="61">
        <v>0</v>
      </c>
      <c r="K112" s="61">
        <v>1</v>
      </c>
      <c r="L112" s="23"/>
      <c r="M112" s="25">
        <f t="shared" si="2"/>
        <v>2</v>
      </c>
    </row>
    <row r="113" spans="5:13">
      <c r="E113" s="9">
        <v>103</v>
      </c>
      <c r="F113" s="59" t="s">
        <v>117</v>
      </c>
      <c r="G113" s="60" t="s">
        <v>313</v>
      </c>
      <c r="H113" s="61">
        <v>1</v>
      </c>
      <c r="I113" s="61">
        <v>1</v>
      </c>
      <c r="J113" s="61">
        <v>1</v>
      </c>
      <c r="K113" s="61">
        <v>1</v>
      </c>
      <c r="L113" s="23"/>
      <c r="M113" s="25">
        <f t="shared" si="2"/>
        <v>4</v>
      </c>
    </row>
    <row r="114" spans="5:13">
      <c r="E114" s="9">
        <v>104</v>
      </c>
      <c r="F114" s="59" t="s">
        <v>118</v>
      </c>
      <c r="G114" s="60" t="s">
        <v>314</v>
      </c>
      <c r="H114" s="61">
        <v>1</v>
      </c>
      <c r="I114" s="61">
        <v>1</v>
      </c>
      <c r="J114" s="61">
        <v>1</v>
      </c>
      <c r="K114" s="61">
        <v>1</v>
      </c>
      <c r="L114" s="23"/>
      <c r="M114" s="25">
        <f t="shared" si="2"/>
        <v>4</v>
      </c>
    </row>
    <row r="115" spans="5:13">
      <c r="E115" s="9">
        <v>105</v>
      </c>
      <c r="F115" s="59" t="s">
        <v>119</v>
      </c>
      <c r="G115" s="60" t="s">
        <v>315</v>
      </c>
      <c r="H115" s="61">
        <v>1</v>
      </c>
      <c r="I115" s="61">
        <v>1</v>
      </c>
      <c r="J115" s="61">
        <v>1</v>
      </c>
      <c r="K115" s="61">
        <v>1</v>
      </c>
      <c r="L115" s="23"/>
      <c r="M115" s="25">
        <f t="shared" si="2"/>
        <v>4</v>
      </c>
    </row>
    <row r="116" spans="5:13">
      <c r="E116" s="9">
        <v>106</v>
      </c>
      <c r="F116" s="59" t="s">
        <v>120</v>
      </c>
      <c r="G116" s="60" t="s">
        <v>316</v>
      </c>
      <c r="H116" s="61">
        <v>1</v>
      </c>
      <c r="I116" s="61">
        <v>1</v>
      </c>
      <c r="J116" s="61">
        <v>1</v>
      </c>
      <c r="K116" s="61">
        <v>1</v>
      </c>
      <c r="L116" s="23"/>
      <c r="M116" s="25">
        <f t="shared" si="2"/>
        <v>4</v>
      </c>
    </row>
    <row r="117" spans="5:13">
      <c r="E117" s="9">
        <v>107</v>
      </c>
      <c r="F117" s="59" t="s">
        <v>121</v>
      </c>
      <c r="G117" s="60" t="s">
        <v>317</v>
      </c>
      <c r="H117" s="61">
        <v>1</v>
      </c>
      <c r="I117" s="61">
        <v>1</v>
      </c>
      <c r="J117" s="61">
        <v>1</v>
      </c>
      <c r="K117" s="61">
        <v>1</v>
      </c>
      <c r="L117" s="23"/>
      <c r="M117" s="25">
        <f t="shared" si="2"/>
        <v>4</v>
      </c>
    </row>
    <row r="118" spans="5:13">
      <c r="E118" s="9">
        <v>108</v>
      </c>
      <c r="F118" s="59" t="s">
        <v>122</v>
      </c>
      <c r="G118" s="60" t="s">
        <v>318</v>
      </c>
      <c r="H118" s="61">
        <v>0</v>
      </c>
      <c r="I118" s="61">
        <v>1</v>
      </c>
      <c r="J118" s="61">
        <v>1</v>
      </c>
      <c r="K118" s="61">
        <v>1</v>
      </c>
      <c r="L118" s="23"/>
      <c r="M118" s="25">
        <f t="shared" si="2"/>
        <v>3</v>
      </c>
    </row>
    <row r="119" spans="5:13">
      <c r="E119" s="9">
        <v>109</v>
      </c>
      <c r="F119" s="59" t="s">
        <v>123</v>
      </c>
      <c r="G119" s="60" t="s">
        <v>319</v>
      </c>
      <c r="H119" s="61">
        <v>1</v>
      </c>
      <c r="I119" s="61">
        <v>1</v>
      </c>
      <c r="J119" s="61">
        <v>0</v>
      </c>
      <c r="K119" s="61">
        <v>1</v>
      </c>
      <c r="L119" s="23"/>
      <c r="M119" s="25">
        <f t="shared" si="2"/>
        <v>3</v>
      </c>
    </row>
    <row r="120" spans="5:13">
      <c r="E120" s="9">
        <v>110</v>
      </c>
      <c r="F120" s="59" t="s">
        <v>124</v>
      </c>
      <c r="G120" s="60" t="s">
        <v>320</v>
      </c>
      <c r="H120" s="61">
        <v>0</v>
      </c>
      <c r="I120" s="61">
        <v>1</v>
      </c>
      <c r="J120" s="61">
        <v>1</v>
      </c>
      <c r="K120" s="61">
        <v>1</v>
      </c>
      <c r="L120" s="23"/>
      <c r="M120" s="25">
        <f t="shared" si="2"/>
        <v>3</v>
      </c>
    </row>
    <row r="121" spans="5:13">
      <c r="E121" s="9">
        <v>111</v>
      </c>
      <c r="F121" s="59" t="s">
        <v>125</v>
      </c>
      <c r="G121" s="60" t="s">
        <v>321</v>
      </c>
      <c r="H121" s="61">
        <v>1</v>
      </c>
      <c r="I121" s="61">
        <v>1</v>
      </c>
      <c r="J121" s="61">
        <v>1</v>
      </c>
      <c r="K121" s="61">
        <v>1</v>
      </c>
      <c r="L121" s="23"/>
      <c r="M121" s="25">
        <f t="shared" si="2"/>
        <v>4</v>
      </c>
    </row>
    <row r="122" spans="5:13">
      <c r="E122" s="9">
        <v>112</v>
      </c>
      <c r="F122" s="59" t="s">
        <v>126</v>
      </c>
      <c r="G122" s="60" t="s">
        <v>322</v>
      </c>
      <c r="H122" s="61">
        <v>1</v>
      </c>
      <c r="I122" s="61">
        <v>1</v>
      </c>
      <c r="J122" s="61">
        <v>1</v>
      </c>
      <c r="K122" s="61">
        <v>0</v>
      </c>
      <c r="L122" s="23"/>
      <c r="M122" s="25">
        <f t="shared" si="2"/>
        <v>3</v>
      </c>
    </row>
    <row r="123" spans="5:13">
      <c r="E123" s="9">
        <v>113</v>
      </c>
      <c r="F123" s="59" t="s">
        <v>127</v>
      </c>
      <c r="G123" s="60" t="s">
        <v>323</v>
      </c>
      <c r="H123" s="61">
        <v>0</v>
      </c>
      <c r="I123" s="61">
        <v>1</v>
      </c>
      <c r="J123" s="61">
        <v>1</v>
      </c>
      <c r="K123" s="61">
        <v>1</v>
      </c>
      <c r="L123" s="23"/>
      <c r="M123" s="25">
        <f t="shared" si="2"/>
        <v>3</v>
      </c>
    </row>
    <row r="124" spans="5:13">
      <c r="E124" s="9">
        <v>114</v>
      </c>
      <c r="F124" s="59" t="s">
        <v>128</v>
      </c>
      <c r="G124" s="60" t="s">
        <v>324</v>
      </c>
      <c r="H124" s="61">
        <v>1</v>
      </c>
      <c r="I124" s="61">
        <v>1</v>
      </c>
      <c r="J124" s="61">
        <v>0</v>
      </c>
      <c r="K124" s="61">
        <v>1</v>
      </c>
      <c r="L124" s="23"/>
      <c r="M124" s="25">
        <f t="shared" si="2"/>
        <v>3</v>
      </c>
    </row>
    <row r="125" spans="5:13">
      <c r="E125" s="9">
        <v>115</v>
      </c>
      <c r="F125" s="59" t="s">
        <v>129</v>
      </c>
      <c r="G125" s="60" t="s">
        <v>325</v>
      </c>
      <c r="H125" s="61">
        <v>1</v>
      </c>
      <c r="I125" s="61">
        <v>0</v>
      </c>
      <c r="J125" s="61">
        <v>1</v>
      </c>
      <c r="K125" s="61">
        <v>0</v>
      </c>
      <c r="L125" s="23"/>
      <c r="M125" s="25">
        <f t="shared" si="2"/>
        <v>2</v>
      </c>
    </row>
    <row r="126" spans="5:13">
      <c r="E126" s="9">
        <v>116</v>
      </c>
      <c r="F126" s="59" t="s">
        <v>130</v>
      </c>
      <c r="G126" s="60" t="s">
        <v>326</v>
      </c>
      <c r="H126" s="61">
        <v>0</v>
      </c>
      <c r="I126" s="61">
        <v>1</v>
      </c>
      <c r="J126" s="61">
        <v>1</v>
      </c>
      <c r="K126" s="61">
        <v>1</v>
      </c>
      <c r="L126" s="23"/>
      <c r="M126" s="25">
        <f t="shared" si="2"/>
        <v>3</v>
      </c>
    </row>
    <row r="127" spans="5:13">
      <c r="E127" s="9">
        <v>117</v>
      </c>
      <c r="F127" s="59" t="s">
        <v>131</v>
      </c>
      <c r="G127" s="60" t="s">
        <v>327</v>
      </c>
      <c r="H127" s="61">
        <v>1</v>
      </c>
      <c r="I127" s="61">
        <v>0</v>
      </c>
      <c r="J127" s="61">
        <v>1</v>
      </c>
      <c r="K127" s="61">
        <v>0</v>
      </c>
      <c r="L127" s="23"/>
      <c r="M127" s="25">
        <f t="shared" si="2"/>
        <v>2</v>
      </c>
    </row>
    <row r="128" spans="5:13">
      <c r="E128" s="9">
        <v>118</v>
      </c>
      <c r="F128" s="59" t="s">
        <v>132</v>
      </c>
      <c r="G128" s="60" t="s">
        <v>328</v>
      </c>
      <c r="H128" s="61">
        <v>1</v>
      </c>
      <c r="I128" s="61">
        <v>1</v>
      </c>
      <c r="J128" s="61">
        <v>0</v>
      </c>
      <c r="K128" s="61">
        <v>1</v>
      </c>
      <c r="L128" s="23"/>
      <c r="M128" s="25">
        <f t="shared" si="2"/>
        <v>3</v>
      </c>
    </row>
    <row r="129" spans="5:13">
      <c r="E129" s="9">
        <v>119</v>
      </c>
      <c r="F129" s="59" t="s">
        <v>133</v>
      </c>
      <c r="G129" s="60" t="s">
        <v>329</v>
      </c>
      <c r="H129" s="61">
        <v>1</v>
      </c>
      <c r="I129" s="61">
        <v>0</v>
      </c>
      <c r="J129" s="61">
        <v>1</v>
      </c>
      <c r="K129" s="61">
        <v>0</v>
      </c>
      <c r="L129" s="23"/>
      <c r="M129" s="25">
        <f t="shared" si="2"/>
        <v>2</v>
      </c>
    </row>
    <row r="130" spans="5:13">
      <c r="E130" s="9">
        <v>120</v>
      </c>
      <c r="F130" s="59" t="s">
        <v>134</v>
      </c>
      <c r="G130" s="60" t="s">
        <v>330</v>
      </c>
      <c r="H130" s="61">
        <v>0</v>
      </c>
      <c r="I130" s="61">
        <v>1</v>
      </c>
      <c r="J130" s="61">
        <v>1</v>
      </c>
      <c r="K130" s="61">
        <v>1</v>
      </c>
      <c r="L130" s="23"/>
      <c r="M130" s="25">
        <f t="shared" si="2"/>
        <v>3</v>
      </c>
    </row>
    <row r="131" spans="5:13">
      <c r="E131" s="9">
        <v>121</v>
      </c>
      <c r="F131" s="59" t="s">
        <v>135</v>
      </c>
      <c r="G131" s="60" t="s">
        <v>331</v>
      </c>
      <c r="H131" s="61">
        <v>1</v>
      </c>
      <c r="I131" s="61">
        <v>1</v>
      </c>
      <c r="J131" s="61">
        <v>0</v>
      </c>
      <c r="K131" s="61">
        <v>1</v>
      </c>
      <c r="L131" s="23"/>
      <c r="M131" s="25">
        <f t="shared" si="2"/>
        <v>3</v>
      </c>
    </row>
    <row r="132" spans="5:13">
      <c r="E132" s="9">
        <v>122</v>
      </c>
      <c r="F132" s="59" t="s">
        <v>136</v>
      </c>
      <c r="G132" s="60" t="s">
        <v>332</v>
      </c>
      <c r="H132" s="61">
        <v>1</v>
      </c>
      <c r="I132" s="61">
        <v>1</v>
      </c>
      <c r="J132" s="61">
        <v>1</v>
      </c>
      <c r="K132" s="61">
        <v>0</v>
      </c>
      <c r="L132" s="23"/>
      <c r="M132" s="25">
        <f t="shared" si="2"/>
        <v>3</v>
      </c>
    </row>
    <row r="133" spans="5:13">
      <c r="E133" s="9">
        <v>123</v>
      </c>
      <c r="F133" s="59" t="s">
        <v>137</v>
      </c>
      <c r="G133" s="60" t="s">
        <v>333</v>
      </c>
      <c r="H133" s="61">
        <v>1</v>
      </c>
      <c r="I133" s="61">
        <v>1</v>
      </c>
      <c r="J133" s="61">
        <v>1</v>
      </c>
      <c r="K133" s="61">
        <v>1</v>
      </c>
      <c r="L133" s="23"/>
      <c r="M133" s="25">
        <f t="shared" si="2"/>
        <v>4</v>
      </c>
    </row>
    <row r="134" spans="5:13">
      <c r="E134" s="9">
        <v>124</v>
      </c>
      <c r="F134" s="59" t="s">
        <v>138</v>
      </c>
      <c r="G134" s="60" t="s">
        <v>334</v>
      </c>
      <c r="H134" s="61">
        <v>0</v>
      </c>
      <c r="I134" s="61">
        <v>1</v>
      </c>
      <c r="J134" s="61">
        <v>1</v>
      </c>
      <c r="K134" s="61">
        <v>1</v>
      </c>
      <c r="L134" s="23"/>
      <c r="M134" s="25">
        <f t="shared" si="2"/>
        <v>3</v>
      </c>
    </row>
    <row r="135" spans="5:13">
      <c r="E135" s="9">
        <v>125</v>
      </c>
      <c r="F135" s="59" t="s">
        <v>139</v>
      </c>
      <c r="G135" s="60" t="s">
        <v>335</v>
      </c>
      <c r="H135" s="61">
        <v>1</v>
      </c>
      <c r="I135" s="61">
        <v>1</v>
      </c>
      <c r="J135" s="61">
        <v>0</v>
      </c>
      <c r="K135" s="61">
        <v>1</v>
      </c>
      <c r="L135" s="23"/>
      <c r="M135" s="25">
        <f t="shared" si="2"/>
        <v>3</v>
      </c>
    </row>
    <row r="136" spans="5:13">
      <c r="E136" s="9">
        <v>126</v>
      </c>
      <c r="F136" s="59" t="s">
        <v>140</v>
      </c>
      <c r="G136" s="60" t="s">
        <v>336</v>
      </c>
      <c r="H136" s="61">
        <v>1</v>
      </c>
      <c r="I136" s="61">
        <v>1</v>
      </c>
      <c r="J136" s="61">
        <v>1</v>
      </c>
      <c r="K136" s="61">
        <v>1</v>
      </c>
      <c r="L136" s="23"/>
      <c r="M136" s="25">
        <f t="shared" si="2"/>
        <v>4</v>
      </c>
    </row>
    <row r="137" spans="5:13">
      <c r="E137" s="9">
        <v>127</v>
      </c>
      <c r="F137" s="59" t="s">
        <v>141</v>
      </c>
      <c r="G137" s="60" t="s">
        <v>337</v>
      </c>
      <c r="H137" s="61">
        <v>1</v>
      </c>
      <c r="I137" s="61">
        <v>0</v>
      </c>
      <c r="J137" s="61">
        <v>1</v>
      </c>
      <c r="K137" s="61">
        <v>0</v>
      </c>
      <c r="L137" s="23"/>
      <c r="M137" s="25">
        <f t="shared" si="2"/>
        <v>2</v>
      </c>
    </row>
    <row r="138" spans="5:13">
      <c r="E138" s="9">
        <v>128</v>
      </c>
      <c r="F138" s="59" t="s">
        <v>142</v>
      </c>
      <c r="G138" s="60" t="s">
        <v>338</v>
      </c>
      <c r="H138" s="61">
        <v>1</v>
      </c>
      <c r="I138" s="61">
        <v>1</v>
      </c>
      <c r="J138" s="61">
        <v>1</v>
      </c>
      <c r="K138" s="61">
        <v>1</v>
      </c>
      <c r="L138" s="23"/>
      <c r="M138" s="25">
        <f t="shared" si="2"/>
        <v>4</v>
      </c>
    </row>
    <row r="139" spans="5:13">
      <c r="E139" s="9">
        <v>129</v>
      </c>
      <c r="F139" s="59" t="s">
        <v>143</v>
      </c>
      <c r="G139" s="60" t="s">
        <v>339</v>
      </c>
      <c r="H139" s="61">
        <v>0</v>
      </c>
      <c r="I139" s="61">
        <v>1</v>
      </c>
      <c r="J139" s="61">
        <v>0</v>
      </c>
      <c r="K139" s="61">
        <v>1</v>
      </c>
      <c r="L139" s="23"/>
      <c r="M139" s="25">
        <f t="shared" si="2"/>
        <v>2</v>
      </c>
    </row>
    <row r="140" spans="5:13">
      <c r="E140" s="9">
        <v>130</v>
      </c>
      <c r="F140" s="59" t="s">
        <v>144</v>
      </c>
      <c r="G140" s="60" t="s">
        <v>340</v>
      </c>
      <c r="H140" s="61">
        <v>1</v>
      </c>
      <c r="I140" s="61">
        <v>0</v>
      </c>
      <c r="J140" s="61">
        <v>1</v>
      </c>
      <c r="K140" s="61">
        <v>0</v>
      </c>
      <c r="L140" s="23"/>
      <c r="M140" s="25">
        <f t="shared" si="2"/>
        <v>2</v>
      </c>
    </row>
    <row r="141" spans="5:13">
      <c r="E141" s="9">
        <v>131</v>
      </c>
      <c r="F141" s="59" t="s">
        <v>145</v>
      </c>
      <c r="G141" s="60" t="s">
        <v>341</v>
      </c>
      <c r="H141" s="61">
        <v>1</v>
      </c>
      <c r="I141" s="61">
        <v>1</v>
      </c>
      <c r="J141" s="61">
        <v>1</v>
      </c>
      <c r="K141" s="61">
        <v>1</v>
      </c>
      <c r="L141" s="23"/>
      <c r="M141" s="25">
        <f t="shared" si="2"/>
        <v>4</v>
      </c>
    </row>
    <row r="142" spans="5:13">
      <c r="E142" s="9">
        <v>132</v>
      </c>
      <c r="F142" s="59" t="s">
        <v>146</v>
      </c>
      <c r="G142" s="60" t="s">
        <v>342</v>
      </c>
      <c r="H142" s="61">
        <v>0</v>
      </c>
      <c r="I142" s="61">
        <v>1</v>
      </c>
      <c r="J142" s="61">
        <v>1</v>
      </c>
      <c r="K142" s="61">
        <v>1</v>
      </c>
      <c r="L142" s="23"/>
      <c r="M142" s="25">
        <f t="shared" si="2"/>
        <v>3</v>
      </c>
    </row>
    <row r="143" spans="5:13">
      <c r="E143" s="9">
        <v>133</v>
      </c>
      <c r="F143" s="59" t="s">
        <v>147</v>
      </c>
      <c r="G143" s="60" t="s">
        <v>343</v>
      </c>
      <c r="H143" s="61">
        <v>1</v>
      </c>
      <c r="I143" s="61">
        <v>0</v>
      </c>
      <c r="J143" s="61">
        <v>1</v>
      </c>
      <c r="K143" s="61">
        <v>1</v>
      </c>
      <c r="L143" s="23"/>
      <c r="M143" s="25">
        <f t="shared" ref="M143:M206" si="3">(H143+I143+J143+K143+L143)</f>
        <v>3</v>
      </c>
    </row>
    <row r="144" spans="5:13">
      <c r="E144" s="9">
        <v>134</v>
      </c>
      <c r="F144" s="59" t="s">
        <v>148</v>
      </c>
      <c r="G144" s="60" t="s">
        <v>344</v>
      </c>
      <c r="H144" s="61">
        <v>1</v>
      </c>
      <c r="I144" s="61">
        <v>1</v>
      </c>
      <c r="J144" s="61">
        <v>1</v>
      </c>
      <c r="K144" s="61">
        <v>0</v>
      </c>
      <c r="L144" s="23"/>
      <c r="M144" s="25">
        <f t="shared" si="3"/>
        <v>3</v>
      </c>
    </row>
    <row r="145" spans="5:13">
      <c r="E145" s="9">
        <v>135</v>
      </c>
      <c r="F145" s="59" t="s">
        <v>149</v>
      </c>
      <c r="G145" s="60" t="s">
        <v>345</v>
      </c>
      <c r="H145" s="61">
        <v>1</v>
      </c>
      <c r="I145" s="61">
        <v>1</v>
      </c>
      <c r="J145" s="61">
        <v>0</v>
      </c>
      <c r="K145" s="61">
        <v>1</v>
      </c>
      <c r="L145" s="23"/>
      <c r="M145" s="25">
        <f t="shared" si="3"/>
        <v>3</v>
      </c>
    </row>
    <row r="146" spans="5:13">
      <c r="E146" s="9">
        <v>136</v>
      </c>
      <c r="F146" s="59" t="s">
        <v>150</v>
      </c>
      <c r="G146" s="60" t="s">
        <v>346</v>
      </c>
      <c r="H146" s="61">
        <v>0</v>
      </c>
      <c r="I146" s="61">
        <v>1</v>
      </c>
      <c r="J146" s="61">
        <v>1</v>
      </c>
      <c r="K146" s="61">
        <v>0</v>
      </c>
      <c r="L146" s="23"/>
      <c r="M146" s="25">
        <f t="shared" si="3"/>
        <v>2</v>
      </c>
    </row>
    <row r="147" spans="5:13">
      <c r="E147" s="9">
        <v>137</v>
      </c>
      <c r="F147" s="59" t="s">
        <v>151</v>
      </c>
      <c r="G147" s="60" t="s">
        <v>347</v>
      </c>
      <c r="H147" s="61">
        <v>1</v>
      </c>
      <c r="I147" s="61">
        <v>1</v>
      </c>
      <c r="J147" s="61">
        <v>1</v>
      </c>
      <c r="K147" s="61">
        <v>1</v>
      </c>
      <c r="L147" s="23"/>
      <c r="M147" s="25">
        <f t="shared" si="3"/>
        <v>4</v>
      </c>
    </row>
    <row r="148" spans="5:13">
      <c r="E148" s="9">
        <v>138</v>
      </c>
      <c r="F148" s="59" t="s">
        <v>152</v>
      </c>
      <c r="G148" s="60" t="s">
        <v>348</v>
      </c>
      <c r="H148" s="61">
        <v>1</v>
      </c>
      <c r="I148" s="61">
        <v>0</v>
      </c>
      <c r="J148" s="61">
        <v>1</v>
      </c>
      <c r="K148" s="61">
        <v>1</v>
      </c>
      <c r="L148" s="23"/>
      <c r="M148" s="25">
        <f t="shared" si="3"/>
        <v>3</v>
      </c>
    </row>
    <row r="149" spans="5:13">
      <c r="E149" s="9">
        <v>139</v>
      </c>
      <c r="F149" s="59" t="s">
        <v>153</v>
      </c>
      <c r="G149" s="60" t="s">
        <v>349</v>
      </c>
      <c r="H149" s="61">
        <v>1</v>
      </c>
      <c r="I149" s="61">
        <v>0</v>
      </c>
      <c r="J149" s="61">
        <v>0</v>
      </c>
      <c r="K149" s="61">
        <v>1</v>
      </c>
      <c r="L149" s="23"/>
      <c r="M149" s="25">
        <f t="shared" si="3"/>
        <v>2</v>
      </c>
    </row>
    <row r="150" spans="5:13">
      <c r="E150" s="9">
        <v>140</v>
      </c>
      <c r="F150" s="59" t="s">
        <v>154</v>
      </c>
      <c r="G150" s="60" t="s">
        <v>350</v>
      </c>
      <c r="H150" s="61">
        <v>1</v>
      </c>
      <c r="I150" s="61">
        <v>1</v>
      </c>
      <c r="J150" s="61">
        <v>1</v>
      </c>
      <c r="K150" s="61">
        <v>1</v>
      </c>
      <c r="L150" s="23"/>
      <c r="M150" s="25">
        <f t="shared" si="3"/>
        <v>4</v>
      </c>
    </row>
    <row r="151" spans="5:13">
      <c r="E151" s="9">
        <v>141</v>
      </c>
      <c r="F151" s="59" t="s">
        <v>155</v>
      </c>
      <c r="G151" s="60" t="s">
        <v>351</v>
      </c>
      <c r="H151" s="61">
        <v>1</v>
      </c>
      <c r="I151" s="61">
        <v>0</v>
      </c>
      <c r="J151" s="61">
        <v>1</v>
      </c>
      <c r="K151" s="61">
        <v>0</v>
      </c>
      <c r="L151" s="23"/>
      <c r="M151" s="25">
        <f t="shared" si="3"/>
        <v>2</v>
      </c>
    </row>
    <row r="152" spans="5:13">
      <c r="E152" s="9">
        <v>142</v>
      </c>
      <c r="F152" s="59" t="s">
        <v>156</v>
      </c>
      <c r="G152" s="60" t="s">
        <v>352</v>
      </c>
      <c r="H152" s="61">
        <v>1</v>
      </c>
      <c r="I152" s="61">
        <v>1</v>
      </c>
      <c r="J152" s="61">
        <v>1</v>
      </c>
      <c r="K152" s="61">
        <v>1</v>
      </c>
      <c r="L152" s="23"/>
      <c r="M152" s="25">
        <f t="shared" si="3"/>
        <v>4</v>
      </c>
    </row>
    <row r="153" spans="5:13">
      <c r="E153" s="9">
        <v>143</v>
      </c>
      <c r="F153" s="59" t="s">
        <v>157</v>
      </c>
      <c r="G153" s="60" t="s">
        <v>353</v>
      </c>
      <c r="H153" s="61">
        <v>0</v>
      </c>
      <c r="I153" s="61">
        <v>1</v>
      </c>
      <c r="J153" s="61">
        <v>0</v>
      </c>
      <c r="K153" s="61">
        <v>1</v>
      </c>
      <c r="L153" s="23"/>
      <c r="M153" s="25">
        <f t="shared" si="3"/>
        <v>2</v>
      </c>
    </row>
    <row r="154" spans="5:13">
      <c r="E154" s="9">
        <v>144</v>
      </c>
      <c r="F154" s="59" t="s">
        <v>158</v>
      </c>
      <c r="G154" s="60" t="s">
        <v>354</v>
      </c>
      <c r="H154" s="61">
        <v>1</v>
      </c>
      <c r="I154" s="61">
        <v>1</v>
      </c>
      <c r="J154" s="61">
        <v>1</v>
      </c>
      <c r="K154" s="61">
        <v>1</v>
      </c>
      <c r="L154" s="23"/>
      <c r="M154" s="25">
        <f t="shared" si="3"/>
        <v>4</v>
      </c>
    </row>
    <row r="155" spans="5:13">
      <c r="E155" s="9">
        <v>145</v>
      </c>
      <c r="F155" s="59" t="s">
        <v>159</v>
      </c>
      <c r="G155" s="60" t="s">
        <v>355</v>
      </c>
      <c r="H155" s="61">
        <v>0</v>
      </c>
      <c r="I155" s="61">
        <v>1</v>
      </c>
      <c r="J155" s="61">
        <v>1</v>
      </c>
      <c r="K155" s="61">
        <v>1</v>
      </c>
      <c r="L155" s="23"/>
      <c r="M155" s="25">
        <f t="shared" si="3"/>
        <v>3</v>
      </c>
    </row>
    <row r="156" spans="5:13">
      <c r="E156" s="9">
        <v>146</v>
      </c>
      <c r="F156" s="59" t="s">
        <v>160</v>
      </c>
      <c r="G156" s="60" t="s">
        <v>356</v>
      </c>
      <c r="H156" s="61">
        <v>1</v>
      </c>
      <c r="I156" s="61">
        <v>0</v>
      </c>
      <c r="J156" s="61">
        <v>1</v>
      </c>
      <c r="K156" s="61">
        <v>1</v>
      </c>
      <c r="L156" s="23"/>
      <c r="M156" s="25">
        <f t="shared" si="3"/>
        <v>3</v>
      </c>
    </row>
    <row r="157" spans="5:13">
      <c r="E157" s="9">
        <v>147</v>
      </c>
      <c r="F157" s="59" t="s">
        <v>161</v>
      </c>
      <c r="G157" s="60" t="s">
        <v>357</v>
      </c>
      <c r="H157" s="61">
        <v>1</v>
      </c>
      <c r="I157" s="61">
        <v>1</v>
      </c>
      <c r="J157" s="61">
        <v>1</v>
      </c>
      <c r="K157" s="61">
        <v>1</v>
      </c>
      <c r="L157" s="23"/>
      <c r="M157" s="25">
        <f t="shared" si="3"/>
        <v>4</v>
      </c>
    </row>
    <row r="158" spans="5:13">
      <c r="E158" s="9">
        <v>148</v>
      </c>
      <c r="F158" s="59" t="s">
        <v>162</v>
      </c>
      <c r="G158" s="60" t="s">
        <v>358</v>
      </c>
      <c r="H158" s="61">
        <v>1</v>
      </c>
      <c r="I158" s="61">
        <v>1</v>
      </c>
      <c r="J158" s="61">
        <v>1</v>
      </c>
      <c r="K158" s="61">
        <v>1</v>
      </c>
      <c r="L158" s="23"/>
      <c r="M158" s="25">
        <f t="shared" si="3"/>
        <v>4</v>
      </c>
    </row>
    <row r="159" spans="5:13">
      <c r="E159" s="9">
        <v>149</v>
      </c>
      <c r="F159" s="59" t="s">
        <v>163</v>
      </c>
      <c r="G159" s="60" t="s">
        <v>359</v>
      </c>
      <c r="H159" s="61">
        <v>0</v>
      </c>
      <c r="I159" s="61">
        <v>1</v>
      </c>
      <c r="J159" s="61">
        <v>1</v>
      </c>
      <c r="K159" s="61">
        <v>1</v>
      </c>
      <c r="L159" s="23"/>
      <c r="M159" s="25">
        <f t="shared" si="3"/>
        <v>3</v>
      </c>
    </row>
    <row r="160" spans="5:13">
      <c r="E160" s="9">
        <v>150</v>
      </c>
      <c r="F160" s="59" t="s">
        <v>164</v>
      </c>
      <c r="G160" s="60" t="s">
        <v>360</v>
      </c>
      <c r="H160" s="61">
        <v>1</v>
      </c>
      <c r="I160" s="61">
        <v>1</v>
      </c>
      <c r="J160" s="61">
        <v>1</v>
      </c>
      <c r="K160" s="61">
        <v>0</v>
      </c>
      <c r="L160" s="23"/>
      <c r="M160" s="25">
        <f t="shared" si="3"/>
        <v>3</v>
      </c>
    </row>
    <row r="161" spans="5:13">
      <c r="E161" s="9">
        <v>151</v>
      </c>
      <c r="F161" s="59" t="s">
        <v>165</v>
      </c>
      <c r="G161" s="60" t="s">
        <v>361</v>
      </c>
      <c r="H161" s="61">
        <v>0</v>
      </c>
      <c r="I161" s="61">
        <v>1</v>
      </c>
      <c r="J161" s="61">
        <v>1</v>
      </c>
      <c r="K161" s="61">
        <v>1</v>
      </c>
      <c r="L161" s="23"/>
      <c r="M161" s="25">
        <f t="shared" si="3"/>
        <v>3</v>
      </c>
    </row>
    <row r="162" spans="5:13">
      <c r="E162" s="9">
        <v>152</v>
      </c>
      <c r="F162" s="59" t="s">
        <v>166</v>
      </c>
      <c r="G162" s="60" t="s">
        <v>362</v>
      </c>
      <c r="H162" s="61">
        <v>1</v>
      </c>
      <c r="I162" s="61">
        <v>1</v>
      </c>
      <c r="J162" s="61">
        <v>1</v>
      </c>
      <c r="K162" s="61">
        <v>1</v>
      </c>
      <c r="L162" s="23"/>
      <c r="M162" s="25">
        <f t="shared" si="3"/>
        <v>4</v>
      </c>
    </row>
    <row r="163" spans="5:13">
      <c r="E163" s="9">
        <v>153</v>
      </c>
      <c r="F163" s="59" t="s">
        <v>167</v>
      </c>
      <c r="G163" s="60" t="s">
        <v>363</v>
      </c>
      <c r="H163" s="61">
        <v>1</v>
      </c>
      <c r="I163" s="61">
        <v>1</v>
      </c>
      <c r="J163" s="61">
        <v>1</v>
      </c>
      <c r="K163" s="61">
        <v>1</v>
      </c>
      <c r="L163" s="23"/>
      <c r="M163" s="25">
        <f t="shared" si="3"/>
        <v>4</v>
      </c>
    </row>
    <row r="164" spans="5:13">
      <c r="E164" s="9">
        <v>154</v>
      </c>
      <c r="F164" s="59" t="s">
        <v>168</v>
      </c>
      <c r="G164" s="60" t="s">
        <v>364</v>
      </c>
      <c r="H164" s="61">
        <v>1</v>
      </c>
      <c r="I164" s="61">
        <v>1</v>
      </c>
      <c r="J164" s="61">
        <v>1</v>
      </c>
      <c r="K164" s="61">
        <v>0</v>
      </c>
      <c r="L164" s="23"/>
      <c r="M164" s="25">
        <f t="shared" si="3"/>
        <v>3</v>
      </c>
    </row>
    <row r="165" spans="5:13">
      <c r="E165" s="9">
        <v>155</v>
      </c>
      <c r="F165" s="59" t="s">
        <v>169</v>
      </c>
      <c r="G165" s="60" t="s">
        <v>365</v>
      </c>
      <c r="H165" s="61">
        <v>1</v>
      </c>
      <c r="I165" s="61">
        <v>1</v>
      </c>
      <c r="J165" s="61">
        <v>1</v>
      </c>
      <c r="K165" s="61">
        <v>1</v>
      </c>
      <c r="L165" s="23"/>
      <c r="M165" s="25">
        <f t="shared" si="3"/>
        <v>4</v>
      </c>
    </row>
    <row r="166" spans="5:13">
      <c r="E166" s="9">
        <v>156</v>
      </c>
      <c r="F166" s="59" t="s">
        <v>170</v>
      </c>
      <c r="G166" s="60" t="s">
        <v>366</v>
      </c>
      <c r="H166" s="61">
        <v>1</v>
      </c>
      <c r="I166" s="61">
        <v>1</v>
      </c>
      <c r="J166" s="61">
        <v>0</v>
      </c>
      <c r="K166" s="61">
        <v>1</v>
      </c>
      <c r="L166" s="23"/>
      <c r="M166" s="25">
        <f t="shared" si="3"/>
        <v>3</v>
      </c>
    </row>
    <row r="167" spans="5:13">
      <c r="E167" s="9">
        <v>157</v>
      </c>
      <c r="F167" s="59" t="s">
        <v>171</v>
      </c>
      <c r="G167" s="60" t="s">
        <v>367</v>
      </c>
      <c r="H167" s="61">
        <v>1</v>
      </c>
      <c r="I167" s="61">
        <v>1</v>
      </c>
      <c r="J167" s="61">
        <v>1</v>
      </c>
      <c r="K167" s="61">
        <v>1</v>
      </c>
      <c r="L167" s="23"/>
      <c r="M167" s="25">
        <f t="shared" si="3"/>
        <v>4</v>
      </c>
    </row>
    <row r="168" spans="5:13">
      <c r="E168" s="9">
        <v>158</v>
      </c>
      <c r="F168" s="59" t="s">
        <v>172</v>
      </c>
      <c r="G168" s="60" t="s">
        <v>368</v>
      </c>
      <c r="H168" s="61">
        <v>1</v>
      </c>
      <c r="I168" s="61">
        <v>1</v>
      </c>
      <c r="J168" s="61">
        <v>0</v>
      </c>
      <c r="K168" s="61">
        <v>0</v>
      </c>
      <c r="L168" s="23"/>
      <c r="M168" s="25">
        <f t="shared" si="3"/>
        <v>2</v>
      </c>
    </row>
    <row r="169" spans="5:13">
      <c r="E169" s="9">
        <v>159</v>
      </c>
      <c r="F169" s="59" t="s">
        <v>173</v>
      </c>
      <c r="G169" s="60" t="s">
        <v>369</v>
      </c>
      <c r="H169" s="61">
        <v>1</v>
      </c>
      <c r="I169" s="61">
        <v>1</v>
      </c>
      <c r="J169" s="61">
        <v>1</v>
      </c>
      <c r="K169" s="61">
        <v>1</v>
      </c>
      <c r="L169" s="23"/>
      <c r="M169" s="25">
        <f t="shared" si="3"/>
        <v>4</v>
      </c>
    </row>
    <row r="170" spans="5:13">
      <c r="E170" s="9">
        <v>160</v>
      </c>
      <c r="F170" s="59" t="s">
        <v>174</v>
      </c>
      <c r="G170" s="60" t="s">
        <v>370</v>
      </c>
      <c r="H170" s="61">
        <v>0</v>
      </c>
      <c r="I170" s="61">
        <v>1</v>
      </c>
      <c r="J170" s="61">
        <v>1</v>
      </c>
      <c r="K170" s="61">
        <v>1</v>
      </c>
      <c r="L170" s="23"/>
      <c r="M170" s="25">
        <f t="shared" si="3"/>
        <v>3</v>
      </c>
    </row>
    <row r="171" spans="5:13">
      <c r="E171" s="9">
        <v>161</v>
      </c>
      <c r="F171" s="59" t="s">
        <v>175</v>
      </c>
      <c r="G171" s="60" t="s">
        <v>371</v>
      </c>
      <c r="H171" s="61">
        <v>1</v>
      </c>
      <c r="I171" s="61">
        <v>1</v>
      </c>
      <c r="J171" s="61">
        <v>1</v>
      </c>
      <c r="K171" s="61">
        <v>1</v>
      </c>
      <c r="L171" s="23"/>
      <c r="M171" s="25">
        <f t="shared" si="3"/>
        <v>4</v>
      </c>
    </row>
    <row r="172" spans="5:13">
      <c r="E172" s="9">
        <v>162</v>
      </c>
      <c r="F172" s="59" t="s">
        <v>176</v>
      </c>
      <c r="G172" s="60" t="s">
        <v>372</v>
      </c>
      <c r="H172" s="61">
        <v>1</v>
      </c>
      <c r="I172" s="61">
        <v>1</v>
      </c>
      <c r="J172" s="61">
        <v>1</v>
      </c>
      <c r="K172" s="61">
        <v>1</v>
      </c>
      <c r="L172" s="23"/>
      <c r="M172" s="25">
        <f t="shared" si="3"/>
        <v>4</v>
      </c>
    </row>
    <row r="173" spans="5:13">
      <c r="E173" s="9">
        <v>163</v>
      </c>
      <c r="F173" s="59" t="s">
        <v>177</v>
      </c>
      <c r="G173" s="60" t="s">
        <v>373</v>
      </c>
      <c r="H173" s="61">
        <v>1</v>
      </c>
      <c r="I173" s="61">
        <v>1</v>
      </c>
      <c r="J173" s="61">
        <v>1</v>
      </c>
      <c r="K173" s="61">
        <v>1</v>
      </c>
      <c r="L173" s="23"/>
      <c r="M173" s="25">
        <f t="shared" si="3"/>
        <v>4</v>
      </c>
    </row>
    <row r="174" spans="5:13">
      <c r="E174" s="9">
        <v>164</v>
      </c>
      <c r="F174" s="59" t="s">
        <v>178</v>
      </c>
      <c r="G174" s="60" t="s">
        <v>374</v>
      </c>
      <c r="H174" s="61">
        <v>1</v>
      </c>
      <c r="I174" s="61">
        <v>0</v>
      </c>
      <c r="J174" s="61">
        <v>1</v>
      </c>
      <c r="K174" s="61">
        <v>0</v>
      </c>
      <c r="L174" s="23"/>
      <c r="M174" s="25">
        <f t="shared" si="3"/>
        <v>2</v>
      </c>
    </row>
    <row r="175" spans="5:13">
      <c r="E175" s="9">
        <v>165</v>
      </c>
      <c r="F175" s="59" t="s">
        <v>179</v>
      </c>
      <c r="G175" s="60" t="s">
        <v>375</v>
      </c>
      <c r="H175" s="61">
        <v>1</v>
      </c>
      <c r="I175" s="61">
        <v>1</v>
      </c>
      <c r="J175" s="61">
        <v>0</v>
      </c>
      <c r="K175" s="61">
        <v>1</v>
      </c>
      <c r="L175" s="23"/>
      <c r="M175" s="25">
        <f t="shared" si="3"/>
        <v>3</v>
      </c>
    </row>
    <row r="176" spans="5:13">
      <c r="E176" s="9">
        <v>166</v>
      </c>
      <c r="F176" s="59" t="s">
        <v>180</v>
      </c>
      <c r="G176" s="60" t="s">
        <v>376</v>
      </c>
      <c r="H176" s="61">
        <v>1</v>
      </c>
      <c r="I176" s="61">
        <v>1</v>
      </c>
      <c r="J176" s="61">
        <v>1</v>
      </c>
      <c r="K176" s="61">
        <v>1</v>
      </c>
      <c r="L176" s="23"/>
      <c r="M176" s="25">
        <f t="shared" si="3"/>
        <v>4</v>
      </c>
    </row>
    <row r="177" spans="5:13">
      <c r="E177" s="9">
        <v>167</v>
      </c>
      <c r="F177" s="59" t="s">
        <v>181</v>
      </c>
      <c r="G177" s="60" t="s">
        <v>377</v>
      </c>
      <c r="H177" s="61">
        <v>0</v>
      </c>
      <c r="I177" s="61">
        <v>1</v>
      </c>
      <c r="J177" s="61">
        <v>1</v>
      </c>
      <c r="K177" s="61">
        <v>1</v>
      </c>
      <c r="L177" s="23"/>
      <c r="M177" s="25">
        <f t="shared" si="3"/>
        <v>3</v>
      </c>
    </row>
    <row r="178" spans="5:13">
      <c r="E178" s="9">
        <v>168</v>
      </c>
      <c r="F178" s="59" t="s">
        <v>182</v>
      </c>
      <c r="G178" s="60" t="s">
        <v>378</v>
      </c>
      <c r="H178" s="61">
        <v>1</v>
      </c>
      <c r="I178" s="61">
        <v>1</v>
      </c>
      <c r="J178" s="61">
        <v>1</v>
      </c>
      <c r="K178" s="61">
        <v>1</v>
      </c>
      <c r="L178" s="23"/>
      <c r="M178" s="25">
        <f t="shared" si="3"/>
        <v>4</v>
      </c>
    </row>
    <row r="179" spans="5:13">
      <c r="E179" s="9">
        <v>169</v>
      </c>
      <c r="F179" s="59" t="s">
        <v>183</v>
      </c>
      <c r="G179" s="60" t="s">
        <v>379</v>
      </c>
      <c r="H179" s="61">
        <v>1</v>
      </c>
      <c r="I179" s="61">
        <v>1</v>
      </c>
      <c r="J179" s="61">
        <v>1</v>
      </c>
      <c r="K179" s="61">
        <v>0</v>
      </c>
      <c r="L179" s="23"/>
      <c r="M179" s="25">
        <f t="shared" si="3"/>
        <v>3</v>
      </c>
    </row>
    <row r="180" spans="5:13">
      <c r="E180" s="9">
        <v>170</v>
      </c>
      <c r="F180" s="59" t="s">
        <v>184</v>
      </c>
      <c r="G180" s="60" t="s">
        <v>380</v>
      </c>
      <c r="H180" s="61">
        <v>1</v>
      </c>
      <c r="I180" s="61">
        <v>1</v>
      </c>
      <c r="J180" s="61">
        <v>1</v>
      </c>
      <c r="K180" s="61">
        <v>1</v>
      </c>
      <c r="L180" s="23"/>
      <c r="M180" s="25">
        <f t="shared" si="3"/>
        <v>4</v>
      </c>
    </row>
    <row r="181" spans="5:13">
      <c r="E181" s="9">
        <v>171</v>
      </c>
      <c r="F181" s="59" t="s">
        <v>185</v>
      </c>
      <c r="G181" s="60" t="s">
        <v>381</v>
      </c>
      <c r="H181" s="61">
        <v>1</v>
      </c>
      <c r="I181" s="61">
        <v>1</v>
      </c>
      <c r="J181" s="61">
        <v>0</v>
      </c>
      <c r="K181" s="61">
        <v>1</v>
      </c>
      <c r="L181" s="23"/>
      <c r="M181" s="25">
        <f t="shared" si="3"/>
        <v>3</v>
      </c>
    </row>
    <row r="182" spans="5:13">
      <c r="E182" s="9">
        <v>172</v>
      </c>
      <c r="F182" s="59" t="s">
        <v>186</v>
      </c>
      <c r="G182" s="60" t="s">
        <v>382</v>
      </c>
      <c r="H182" s="61">
        <v>1</v>
      </c>
      <c r="I182" s="61">
        <v>1</v>
      </c>
      <c r="J182" s="61">
        <v>1</v>
      </c>
      <c r="K182" s="61">
        <v>1</v>
      </c>
      <c r="L182" s="23"/>
      <c r="M182" s="25">
        <f t="shared" si="3"/>
        <v>4</v>
      </c>
    </row>
    <row r="183" spans="5:13">
      <c r="E183" s="9">
        <v>173</v>
      </c>
      <c r="F183" s="59" t="s">
        <v>187</v>
      </c>
      <c r="G183" s="60" t="s">
        <v>383</v>
      </c>
      <c r="H183" s="61">
        <v>1</v>
      </c>
      <c r="I183" s="61">
        <v>1</v>
      </c>
      <c r="J183" s="61">
        <v>1</v>
      </c>
      <c r="K183" s="61">
        <v>1</v>
      </c>
      <c r="L183" s="23"/>
      <c r="M183" s="25">
        <f t="shared" si="3"/>
        <v>4</v>
      </c>
    </row>
    <row r="184" spans="5:13">
      <c r="E184" s="9">
        <v>174</v>
      </c>
      <c r="F184" s="59" t="s">
        <v>188</v>
      </c>
      <c r="G184" s="60" t="s">
        <v>384</v>
      </c>
      <c r="H184" s="61">
        <v>0</v>
      </c>
      <c r="I184" s="61">
        <v>1</v>
      </c>
      <c r="J184" s="61">
        <v>1</v>
      </c>
      <c r="K184" s="61">
        <v>1</v>
      </c>
      <c r="L184" s="23"/>
      <c r="M184" s="25">
        <f t="shared" si="3"/>
        <v>3</v>
      </c>
    </row>
    <row r="185" spans="5:13">
      <c r="E185" s="9">
        <v>175</v>
      </c>
      <c r="F185" s="59" t="s">
        <v>189</v>
      </c>
      <c r="G185" s="60" t="s">
        <v>385</v>
      </c>
      <c r="H185" s="61">
        <v>1</v>
      </c>
      <c r="I185" s="61">
        <v>1</v>
      </c>
      <c r="J185" s="61">
        <v>1</v>
      </c>
      <c r="K185" s="61">
        <v>0</v>
      </c>
      <c r="L185" s="23"/>
      <c r="M185" s="25">
        <f t="shared" si="3"/>
        <v>3</v>
      </c>
    </row>
    <row r="186" spans="5:13">
      <c r="E186" s="9">
        <v>176</v>
      </c>
      <c r="F186" s="59" t="s">
        <v>190</v>
      </c>
      <c r="G186" s="60" t="s">
        <v>386</v>
      </c>
      <c r="H186" s="61">
        <v>1</v>
      </c>
      <c r="I186" s="61">
        <v>1</v>
      </c>
      <c r="J186" s="61">
        <v>0</v>
      </c>
      <c r="K186" s="61">
        <v>1</v>
      </c>
      <c r="L186" s="23"/>
      <c r="M186" s="25">
        <f t="shared" si="3"/>
        <v>3</v>
      </c>
    </row>
    <row r="187" spans="5:13">
      <c r="E187" s="9">
        <v>177</v>
      </c>
      <c r="F187" s="59" t="s">
        <v>191</v>
      </c>
      <c r="G187" s="60" t="s">
        <v>387</v>
      </c>
      <c r="H187" s="61">
        <v>1</v>
      </c>
      <c r="I187" s="61">
        <v>1</v>
      </c>
      <c r="J187" s="61">
        <v>1</v>
      </c>
      <c r="K187" s="61">
        <v>1</v>
      </c>
      <c r="L187" s="23"/>
      <c r="M187" s="25">
        <f t="shared" si="3"/>
        <v>4</v>
      </c>
    </row>
    <row r="188" spans="5:13">
      <c r="E188" s="9">
        <v>178</v>
      </c>
      <c r="F188" s="59" t="s">
        <v>192</v>
      </c>
      <c r="G188" s="60" t="s">
        <v>388</v>
      </c>
      <c r="H188" s="61">
        <v>0</v>
      </c>
      <c r="I188" s="61">
        <v>1</v>
      </c>
      <c r="J188" s="61">
        <v>1</v>
      </c>
      <c r="K188" s="61">
        <v>1</v>
      </c>
      <c r="L188" s="23"/>
      <c r="M188" s="25">
        <f t="shared" si="3"/>
        <v>3</v>
      </c>
    </row>
    <row r="189" spans="5:13">
      <c r="E189" s="9">
        <v>179</v>
      </c>
      <c r="F189" s="59" t="s">
        <v>193</v>
      </c>
      <c r="G189" s="60" t="s">
        <v>389</v>
      </c>
      <c r="H189" s="61">
        <v>1</v>
      </c>
      <c r="I189" s="61">
        <v>0</v>
      </c>
      <c r="J189" s="61">
        <v>1</v>
      </c>
      <c r="K189" s="61">
        <v>0</v>
      </c>
      <c r="L189" s="23"/>
      <c r="M189" s="25">
        <f t="shared" si="3"/>
        <v>2</v>
      </c>
    </row>
    <row r="190" spans="5:13">
      <c r="E190" s="9">
        <v>180</v>
      </c>
      <c r="F190" s="59" t="s">
        <v>194</v>
      </c>
      <c r="G190" s="60" t="s">
        <v>390</v>
      </c>
      <c r="H190" s="61">
        <v>1</v>
      </c>
      <c r="I190" s="61">
        <v>1</v>
      </c>
      <c r="J190" s="61">
        <v>1</v>
      </c>
      <c r="K190" s="61">
        <v>1</v>
      </c>
      <c r="L190" s="23"/>
      <c r="M190" s="25">
        <f t="shared" si="3"/>
        <v>4</v>
      </c>
    </row>
    <row r="191" spans="5:13">
      <c r="E191" s="9">
        <v>181</v>
      </c>
      <c r="F191" s="59" t="s">
        <v>195</v>
      </c>
      <c r="G191" s="60" t="s">
        <v>391</v>
      </c>
      <c r="H191" s="61">
        <v>1</v>
      </c>
      <c r="I191" s="61">
        <v>1</v>
      </c>
      <c r="J191" s="61">
        <v>1</v>
      </c>
      <c r="K191" s="61">
        <v>1</v>
      </c>
      <c r="L191" s="23"/>
      <c r="M191" s="25">
        <f t="shared" si="3"/>
        <v>4</v>
      </c>
    </row>
    <row r="192" spans="5:13">
      <c r="E192" s="9">
        <v>182</v>
      </c>
      <c r="F192" s="59" t="s">
        <v>196</v>
      </c>
      <c r="G192" s="60" t="s">
        <v>392</v>
      </c>
      <c r="H192" s="61">
        <v>1</v>
      </c>
      <c r="I192" s="61">
        <v>1</v>
      </c>
      <c r="J192" s="61">
        <v>1</v>
      </c>
      <c r="K192" s="61">
        <v>1</v>
      </c>
      <c r="L192" s="23"/>
      <c r="M192" s="25">
        <f t="shared" si="3"/>
        <v>4</v>
      </c>
    </row>
    <row r="193" spans="5:13">
      <c r="E193" s="9">
        <v>183</v>
      </c>
      <c r="F193" s="59" t="s">
        <v>197</v>
      </c>
      <c r="G193" s="60" t="s">
        <v>393</v>
      </c>
      <c r="H193" s="61">
        <v>1</v>
      </c>
      <c r="I193" s="61">
        <v>0</v>
      </c>
      <c r="J193" s="61">
        <v>1</v>
      </c>
      <c r="K193" s="61">
        <v>0</v>
      </c>
      <c r="L193" s="23"/>
      <c r="M193" s="25">
        <f t="shared" si="3"/>
        <v>2</v>
      </c>
    </row>
    <row r="194" spans="5:13">
      <c r="E194" s="9">
        <v>184</v>
      </c>
      <c r="F194" s="59" t="s">
        <v>198</v>
      </c>
      <c r="G194" s="60" t="s">
        <v>394</v>
      </c>
      <c r="H194" s="61">
        <v>0</v>
      </c>
      <c r="I194" s="61">
        <v>1</v>
      </c>
      <c r="J194" s="61">
        <v>0</v>
      </c>
      <c r="K194" s="61">
        <v>1</v>
      </c>
      <c r="L194" s="23"/>
      <c r="M194" s="25">
        <f t="shared" si="3"/>
        <v>2</v>
      </c>
    </row>
    <row r="195" spans="5:13">
      <c r="E195" s="9">
        <v>185</v>
      </c>
      <c r="F195" s="59" t="s">
        <v>199</v>
      </c>
      <c r="G195" s="60" t="s">
        <v>395</v>
      </c>
      <c r="H195" s="61">
        <v>1</v>
      </c>
      <c r="I195" s="61">
        <v>1</v>
      </c>
      <c r="J195" s="61">
        <v>1</v>
      </c>
      <c r="K195" s="61">
        <v>0</v>
      </c>
      <c r="L195" s="23"/>
      <c r="M195" s="25">
        <f t="shared" si="3"/>
        <v>3</v>
      </c>
    </row>
    <row r="196" spans="5:13">
      <c r="E196" s="9">
        <v>186</v>
      </c>
      <c r="F196" s="59" t="s">
        <v>200</v>
      </c>
      <c r="G196" s="60" t="s">
        <v>396</v>
      </c>
      <c r="H196" s="61">
        <v>1</v>
      </c>
      <c r="I196" s="61">
        <v>1</v>
      </c>
      <c r="J196" s="61">
        <v>1</v>
      </c>
      <c r="K196" s="61">
        <v>1</v>
      </c>
      <c r="L196" s="23"/>
      <c r="M196" s="25">
        <f t="shared" si="3"/>
        <v>4</v>
      </c>
    </row>
    <row r="197" spans="5:13">
      <c r="E197" s="9">
        <v>187</v>
      </c>
      <c r="F197" s="59" t="s">
        <v>201</v>
      </c>
      <c r="G197" s="60" t="s">
        <v>397</v>
      </c>
      <c r="H197" s="61">
        <v>1</v>
      </c>
      <c r="I197" s="61">
        <v>1</v>
      </c>
      <c r="J197" s="61">
        <v>1</v>
      </c>
      <c r="K197" s="61">
        <v>1</v>
      </c>
      <c r="L197" s="23"/>
      <c r="M197" s="25">
        <f t="shared" si="3"/>
        <v>4</v>
      </c>
    </row>
    <row r="198" spans="5:13">
      <c r="E198" s="9">
        <v>188</v>
      </c>
      <c r="F198" s="59" t="s">
        <v>202</v>
      </c>
      <c r="G198" s="60" t="s">
        <v>398</v>
      </c>
      <c r="H198" s="61">
        <v>0</v>
      </c>
      <c r="I198" s="61">
        <v>1</v>
      </c>
      <c r="J198" s="61">
        <v>1</v>
      </c>
      <c r="K198" s="61">
        <v>1</v>
      </c>
      <c r="L198" s="23"/>
      <c r="M198" s="25">
        <f t="shared" si="3"/>
        <v>3</v>
      </c>
    </row>
    <row r="199" spans="5:13">
      <c r="E199" s="9">
        <v>189</v>
      </c>
      <c r="F199" s="59" t="s">
        <v>203</v>
      </c>
      <c r="G199" s="60" t="s">
        <v>399</v>
      </c>
      <c r="H199" s="61">
        <v>1</v>
      </c>
      <c r="I199" s="61">
        <v>1</v>
      </c>
      <c r="J199" s="61">
        <v>1</v>
      </c>
      <c r="K199" s="61">
        <v>1</v>
      </c>
      <c r="L199" s="23"/>
      <c r="M199" s="25">
        <f t="shared" si="3"/>
        <v>4</v>
      </c>
    </row>
    <row r="200" spans="5:13">
      <c r="E200" s="9">
        <v>190</v>
      </c>
      <c r="F200" s="59" t="s">
        <v>204</v>
      </c>
      <c r="G200" s="60" t="s">
        <v>400</v>
      </c>
      <c r="H200" s="61">
        <v>1</v>
      </c>
      <c r="I200" s="61">
        <v>1</v>
      </c>
      <c r="J200" s="61">
        <v>1</v>
      </c>
      <c r="K200" s="61">
        <v>1</v>
      </c>
      <c r="L200" s="23"/>
      <c r="M200" s="25">
        <f t="shared" si="3"/>
        <v>4</v>
      </c>
    </row>
    <row r="201" spans="5:13">
      <c r="E201" s="9">
        <v>191</v>
      </c>
      <c r="F201" s="59" t="s">
        <v>205</v>
      </c>
      <c r="G201" s="60" t="s">
        <v>401</v>
      </c>
      <c r="H201" s="61">
        <v>1</v>
      </c>
      <c r="I201" s="61">
        <v>1</v>
      </c>
      <c r="J201" s="61">
        <v>1</v>
      </c>
      <c r="K201" s="61">
        <v>1</v>
      </c>
      <c r="L201" s="23"/>
      <c r="M201" s="25">
        <f t="shared" si="3"/>
        <v>4</v>
      </c>
    </row>
    <row r="202" spans="5:13">
      <c r="E202" s="9">
        <v>192</v>
      </c>
      <c r="F202" s="59" t="s">
        <v>206</v>
      </c>
      <c r="G202" s="60" t="s">
        <v>402</v>
      </c>
      <c r="H202" s="61">
        <v>0</v>
      </c>
      <c r="I202" s="61">
        <v>1</v>
      </c>
      <c r="J202" s="61">
        <v>1</v>
      </c>
      <c r="K202" s="61">
        <v>1</v>
      </c>
      <c r="L202" s="23"/>
      <c r="M202" s="25">
        <f t="shared" si="3"/>
        <v>3</v>
      </c>
    </row>
    <row r="203" spans="5:13">
      <c r="E203" s="9">
        <v>193</v>
      </c>
      <c r="F203" s="59" t="s">
        <v>207</v>
      </c>
      <c r="G203" s="60" t="s">
        <v>403</v>
      </c>
      <c r="H203" s="61">
        <v>1</v>
      </c>
      <c r="I203" s="61">
        <v>1</v>
      </c>
      <c r="J203" s="61">
        <v>0</v>
      </c>
      <c r="K203" s="61">
        <v>1</v>
      </c>
      <c r="L203" s="23"/>
      <c r="M203" s="25">
        <f t="shared" si="3"/>
        <v>3</v>
      </c>
    </row>
    <row r="204" spans="5:13">
      <c r="E204" s="9">
        <v>194</v>
      </c>
      <c r="F204" s="59" t="s">
        <v>208</v>
      </c>
      <c r="G204" s="60" t="s">
        <v>404</v>
      </c>
      <c r="H204" s="61">
        <v>1</v>
      </c>
      <c r="I204" s="61">
        <v>1</v>
      </c>
      <c r="J204" s="61">
        <v>1</v>
      </c>
      <c r="K204" s="61">
        <v>0</v>
      </c>
      <c r="L204" s="23"/>
      <c r="M204" s="25">
        <f t="shared" si="3"/>
        <v>3</v>
      </c>
    </row>
    <row r="205" spans="5:13">
      <c r="E205" s="9">
        <v>195</v>
      </c>
      <c r="F205" s="59" t="s">
        <v>209</v>
      </c>
      <c r="G205" s="60" t="s">
        <v>405</v>
      </c>
      <c r="H205" s="61">
        <v>1</v>
      </c>
      <c r="I205" s="61">
        <v>1</v>
      </c>
      <c r="J205" s="61">
        <v>0</v>
      </c>
      <c r="K205" s="61">
        <v>1</v>
      </c>
      <c r="L205" s="23"/>
      <c r="M205" s="25">
        <f t="shared" si="3"/>
        <v>3</v>
      </c>
    </row>
    <row r="206" spans="5:13">
      <c r="E206" s="9">
        <v>196</v>
      </c>
      <c r="F206" s="59" t="s">
        <v>210</v>
      </c>
      <c r="G206" s="60" t="s">
        <v>406</v>
      </c>
      <c r="H206" s="61">
        <v>1</v>
      </c>
      <c r="I206" s="61">
        <v>1</v>
      </c>
      <c r="J206" s="61">
        <v>1</v>
      </c>
      <c r="K206" s="61">
        <v>1</v>
      </c>
      <c r="L206" s="23"/>
      <c r="M206" s="25">
        <f t="shared" si="3"/>
        <v>4</v>
      </c>
    </row>
    <row r="207" spans="5:13">
      <c r="E207" s="9">
        <v>197</v>
      </c>
      <c r="F207" s="59" t="s">
        <v>408</v>
      </c>
      <c r="G207" s="60" t="s">
        <v>409</v>
      </c>
      <c r="H207" s="61">
        <v>1</v>
      </c>
      <c r="I207" s="61">
        <v>1</v>
      </c>
      <c r="J207" s="61">
        <v>1</v>
      </c>
      <c r="K207" s="61">
        <v>1</v>
      </c>
      <c r="L207" s="23"/>
      <c r="M207" s="25">
        <f t="shared" ref="M207:M212" si="4">(H207+I207+J207+K207+L207)</f>
        <v>4</v>
      </c>
    </row>
    <row r="208" spans="5:13">
      <c r="E208" s="9">
        <v>198</v>
      </c>
      <c r="F208" s="59" t="s">
        <v>410</v>
      </c>
      <c r="G208" s="60" t="s">
        <v>411</v>
      </c>
      <c r="H208" s="61">
        <v>1</v>
      </c>
      <c r="I208" s="61">
        <v>1</v>
      </c>
      <c r="J208" s="61">
        <v>0</v>
      </c>
      <c r="K208" s="61">
        <v>1</v>
      </c>
      <c r="L208" s="23"/>
      <c r="M208" s="25">
        <f t="shared" si="4"/>
        <v>3</v>
      </c>
    </row>
    <row r="209" spans="5:13">
      <c r="E209" s="9">
        <v>199</v>
      </c>
      <c r="F209" s="59" t="s">
        <v>412</v>
      </c>
      <c r="G209" s="60" t="s">
        <v>413</v>
      </c>
      <c r="H209" s="61">
        <v>1</v>
      </c>
      <c r="I209" s="61">
        <v>1</v>
      </c>
      <c r="J209" s="61">
        <v>1</v>
      </c>
      <c r="K209" s="61">
        <v>0</v>
      </c>
      <c r="L209" s="23"/>
      <c r="M209" s="25">
        <f t="shared" si="4"/>
        <v>3</v>
      </c>
    </row>
    <row r="210" spans="5:13">
      <c r="E210" s="9">
        <v>200</v>
      </c>
      <c r="F210" s="59" t="s">
        <v>414</v>
      </c>
      <c r="G210" s="60" t="s">
        <v>415</v>
      </c>
      <c r="H210" s="61">
        <v>1</v>
      </c>
      <c r="I210" s="61">
        <v>1</v>
      </c>
      <c r="J210" s="61">
        <v>1</v>
      </c>
      <c r="K210" s="61">
        <v>1</v>
      </c>
      <c r="L210" s="23"/>
      <c r="M210" s="25">
        <f t="shared" si="4"/>
        <v>4</v>
      </c>
    </row>
    <row r="211" spans="5:13">
      <c r="E211" s="9">
        <v>201</v>
      </c>
      <c r="F211" s="10"/>
      <c r="G211" s="11"/>
      <c r="H211" s="23"/>
      <c r="I211" s="23"/>
      <c r="J211" s="23"/>
      <c r="K211" s="23"/>
      <c r="L211" s="23"/>
      <c r="M211" s="25">
        <f t="shared" si="4"/>
        <v>0</v>
      </c>
    </row>
    <row r="212" spans="5:13">
      <c r="E212" s="9">
        <v>214</v>
      </c>
      <c r="F212" s="10"/>
      <c r="G212" s="11"/>
      <c r="H212" s="23"/>
      <c r="I212" s="23"/>
      <c r="J212" s="23"/>
      <c r="K212" s="23"/>
      <c r="L212" s="23"/>
      <c r="M212" s="25">
        <f t="shared" si="4"/>
        <v>0</v>
      </c>
    </row>
    <row r="213" spans="5:13">
      <c r="F213" s="34" t="s">
        <v>7</v>
      </c>
      <c r="G213" s="34"/>
      <c r="H213" s="13">
        <f>SUM(H11:H212)</f>
        <v>155</v>
      </c>
      <c r="I213" s="13">
        <f>SUM(I11:I212)</f>
        <v>170</v>
      </c>
      <c r="J213" s="13">
        <f>SUM(J11:J212)</f>
        <v>161</v>
      </c>
      <c r="K213" s="13">
        <f>SUM(K11:K212)</f>
        <v>156</v>
      </c>
      <c r="L213" s="13">
        <f>SUM(L11:L212)</f>
        <v>0</v>
      </c>
    </row>
    <row r="214" spans="5:13">
      <c r="F214" s="35" t="s">
        <v>8</v>
      </c>
      <c r="G214" s="35"/>
      <c r="H214" s="14">
        <f>(H213*100/H10)</f>
        <v>67.099567099567096</v>
      </c>
      <c r="I214" s="14">
        <f>(I213*100/I10)</f>
        <v>73.593073593073598</v>
      </c>
      <c r="J214" s="14">
        <f>(J213*100/J10)</f>
        <v>69.696969696969703</v>
      </c>
      <c r="K214" s="14">
        <f>(K213*100/K10)</f>
        <v>67.532467532467535</v>
      </c>
      <c r="L214" s="14" t="e">
        <f>(L213*100/L10)</f>
        <v>#DIV/0!</v>
      </c>
    </row>
    <row r="215" spans="5:13" ht="15.75" thickBot="1"/>
    <row r="216" spans="5:13" ht="16.5" thickBot="1">
      <c r="F216" s="36" t="s">
        <v>9</v>
      </c>
      <c r="G216" s="36"/>
      <c r="H216" s="12">
        <f>(H214+I214+J214+K214)/H6</f>
        <v>69.480519480519476</v>
      </c>
    </row>
  </sheetData>
  <mergeCells count="11">
    <mergeCell ref="F213:G213"/>
    <mergeCell ref="F214:G214"/>
    <mergeCell ref="F216:G216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12">
      <formula1>"0,1"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7"/>
  <sheetViews>
    <sheetView workbookViewId="0">
      <selection activeCell="F11" sqref="F11:K223"/>
    </sheetView>
  </sheetViews>
  <sheetFormatPr defaultRowHeight="15"/>
  <cols>
    <col min="1" max="5" width="9.140625" style="1"/>
    <col min="6" max="6" width="12.28515625" style="1" customWidth="1"/>
    <col min="7" max="7" width="26" style="1" customWidth="1"/>
    <col min="8" max="8" width="10.85546875" style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7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234</v>
      </c>
      <c r="I10" s="22">
        <v>234</v>
      </c>
      <c r="J10" s="21">
        <v>234</v>
      </c>
      <c r="K10" s="22">
        <v>234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ref="M15:M78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0"/>
        <v>0</v>
      </c>
    </row>
    <row r="79" spans="5:13">
      <c r="E79" s="9">
        <v>69</v>
      </c>
      <c r="F79" s="10"/>
      <c r="G79" s="11"/>
      <c r="H79" s="23"/>
      <c r="I79" s="23"/>
      <c r="J79" s="23"/>
      <c r="K79" s="23"/>
      <c r="L79" s="23"/>
      <c r="M79" s="25">
        <f t="shared" ref="M79:M142" si="1">(H79+I79+J79+K79+L79)</f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9">
        <v>129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1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1"/>
        <v>0</v>
      </c>
    </row>
    <row r="143" spans="5:13">
      <c r="E143" s="9">
        <v>133</v>
      </c>
      <c r="F143" s="10"/>
      <c r="G143" s="11"/>
      <c r="H143" s="23"/>
      <c r="I143" s="23"/>
      <c r="J143" s="23"/>
      <c r="K143" s="23"/>
      <c r="L143" s="23"/>
      <c r="M143" s="25">
        <f t="shared" ref="M143:M206" si="2">(H143+I143+J143+K143+L143)</f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9">
        <v>193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si="2"/>
        <v>0</v>
      </c>
    </row>
    <row r="206" spans="5:13">
      <c r="E206" s="9">
        <v>196</v>
      </c>
      <c r="F206" s="10"/>
      <c r="G206" s="11"/>
      <c r="H206" s="23"/>
      <c r="I206" s="23"/>
      <c r="J206" s="23"/>
      <c r="K206" s="23"/>
      <c r="L206" s="23"/>
      <c r="M206" s="25">
        <f t="shared" si="2"/>
        <v>0</v>
      </c>
    </row>
    <row r="207" spans="5:13">
      <c r="E207" s="9">
        <v>197</v>
      </c>
      <c r="F207" s="10"/>
      <c r="G207" s="11"/>
      <c r="H207" s="23"/>
      <c r="I207" s="23"/>
      <c r="J207" s="23"/>
      <c r="K207" s="23"/>
      <c r="L207" s="23"/>
      <c r="M207" s="25">
        <f t="shared" ref="M207:M223" si="3">(H207+I207+J207+K207+L207)</f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201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202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203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204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205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206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207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9">
        <v>208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9">
        <v>209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210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211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E222" s="9">
        <v>212</v>
      </c>
      <c r="F222" s="10"/>
      <c r="G222" s="11"/>
      <c r="H222" s="23"/>
      <c r="I222" s="23"/>
      <c r="J222" s="23"/>
      <c r="K222" s="23"/>
      <c r="L222" s="23"/>
      <c r="M222" s="25">
        <f t="shared" si="3"/>
        <v>0</v>
      </c>
    </row>
    <row r="223" spans="5:13">
      <c r="E223" s="9">
        <v>213</v>
      </c>
      <c r="F223" s="10"/>
      <c r="G223" s="11"/>
      <c r="H223" s="23"/>
      <c r="I223" s="23"/>
      <c r="J223" s="23"/>
      <c r="K223" s="23"/>
      <c r="L223" s="23"/>
      <c r="M223" s="25">
        <f t="shared" si="3"/>
        <v>0</v>
      </c>
    </row>
    <row r="224" spans="5:13">
      <c r="F224" s="34" t="s">
        <v>7</v>
      </c>
      <c r="G224" s="34"/>
      <c r="H224" s="13">
        <f>SUM(H11:H223)</f>
        <v>0</v>
      </c>
      <c r="I224" s="13">
        <f>SUM(I11:I223)</f>
        <v>0</v>
      </c>
      <c r="J224" s="13">
        <f>SUM(J11:J223)</f>
        <v>0</v>
      </c>
      <c r="K224" s="13">
        <f>SUM(K11:K223)</f>
        <v>0</v>
      </c>
      <c r="L224" s="13">
        <f>SUM(L11:L223)</f>
        <v>0</v>
      </c>
    </row>
    <row r="225" spans="6:12">
      <c r="F225" s="35" t="s">
        <v>8</v>
      </c>
      <c r="G225" s="35"/>
      <c r="H225" s="14">
        <f>(H224*100/H10)</f>
        <v>0</v>
      </c>
      <c r="I225" s="14">
        <f>(I224*100/I10)</f>
        <v>0</v>
      </c>
      <c r="J225" s="14">
        <f>(J224*100/J10)</f>
        <v>0</v>
      </c>
      <c r="K225" s="14">
        <f>(K224*100/K10)</f>
        <v>0</v>
      </c>
      <c r="L225" s="14" t="e">
        <f>(L224*100/L10)</f>
        <v>#DIV/0!</v>
      </c>
    </row>
    <row r="226" spans="6:12" ht="15.75" thickBot="1"/>
    <row r="227" spans="6:12" ht="16.5" thickBot="1">
      <c r="F227" s="36" t="s">
        <v>9</v>
      </c>
      <c r="G227" s="36"/>
      <c r="H227" s="12">
        <f>(H225+I225+J225+K225)/4</f>
        <v>0</v>
      </c>
    </row>
  </sheetData>
  <mergeCells count="11">
    <mergeCell ref="F224:G224"/>
    <mergeCell ref="F225:G225"/>
    <mergeCell ref="F227:G227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23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5"/>
  <sheetViews>
    <sheetView topLeftCell="A2" workbookViewId="0">
      <selection activeCell="G19" sqref="G19"/>
    </sheetView>
  </sheetViews>
  <sheetFormatPr defaultRowHeight="15"/>
  <cols>
    <col min="1" max="5" width="9.140625" style="1"/>
    <col min="6" max="6" width="11.28515625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7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45.75" thickBot="1">
      <c r="E10" s="5"/>
      <c r="F10" s="19" t="s">
        <v>6</v>
      </c>
      <c r="G10" s="20" t="s">
        <v>11</v>
      </c>
      <c r="H10" s="21">
        <v>211</v>
      </c>
      <c r="I10" s="22">
        <v>211</v>
      </c>
      <c r="J10" s="21">
        <v>211</v>
      </c>
      <c r="K10" s="22">
        <v>211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 t="shared" ref="M13:M70" si="0">(H13+I13+J13+K13+L13)</f>
        <v>0</v>
      </c>
    </row>
    <row r="14" spans="5:13">
      <c r="E14" s="6">
        <v>4</v>
      </c>
      <c r="F14" s="10"/>
      <c r="G14" s="11"/>
      <c r="H14" s="23"/>
      <c r="I14" s="23"/>
      <c r="J14" s="23"/>
      <c r="K14" s="23"/>
      <c r="L14" s="23"/>
      <c r="M14" s="25">
        <f t="shared" si="0"/>
        <v>0</v>
      </c>
    </row>
    <row r="15" spans="5:13">
      <c r="E15" s="6">
        <v>5</v>
      </c>
      <c r="F15" s="10"/>
      <c r="G15" s="11"/>
      <c r="H15" s="23"/>
      <c r="I15" s="23"/>
      <c r="J15" s="23"/>
      <c r="K15" s="23"/>
      <c r="L15" s="23"/>
      <c r="M15" s="25">
        <f t="shared" si="0"/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6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6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6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6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6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6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6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6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6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6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6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6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6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6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6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6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6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6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6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6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6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6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6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6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6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6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6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6">
        <v>61</v>
      </c>
      <c r="F71" s="10"/>
      <c r="G71" s="11"/>
      <c r="H71" s="23"/>
      <c r="I71" s="23"/>
      <c r="J71" s="23"/>
      <c r="K71" s="23"/>
      <c r="L71" s="23"/>
      <c r="M71" s="25">
        <f t="shared" ref="M71:M134" si="1">(H71+I71+J71+K71+L71)</f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1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1"/>
        <v>0</v>
      </c>
    </row>
    <row r="74" spans="5:13">
      <c r="E74" s="6">
        <v>64</v>
      </c>
      <c r="F74" s="10"/>
      <c r="G74" s="11"/>
      <c r="H74" s="23"/>
      <c r="I74" s="23"/>
      <c r="J74" s="23"/>
      <c r="K74" s="23"/>
      <c r="L74" s="23"/>
      <c r="M74" s="25">
        <f t="shared" si="1"/>
        <v>0</v>
      </c>
    </row>
    <row r="75" spans="5:13">
      <c r="E75" s="6">
        <v>65</v>
      </c>
      <c r="F75" s="10"/>
      <c r="G75" s="11"/>
      <c r="H75" s="23"/>
      <c r="I75" s="23"/>
      <c r="J75" s="23"/>
      <c r="K75" s="23"/>
      <c r="L75" s="23"/>
      <c r="M75" s="25">
        <f t="shared" si="1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1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1"/>
        <v>0</v>
      </c>
    </row>
    <row r="78" spans="5:13">
      <c r="E78" s="6">
        <v>68</v>
      </c>
      <c r="F78" s="10"/>
      <c r="G78" s="11"/>
      <c r="H78" s="23"/>
      <c r="I78" s="23"/>
      <c r="J78" s="23"/>
      <c r="K78" s="23"/>
      <c r="L78" s="23"/>
      <c r="M78" s="25">
        <f t="shared" si="1"/>
        <v>0</v>
      </c>
    </row>
    <row r="79" spans="5:13">
      <c r="E79" s="6">
        <v>69</v>
      </c>
      <c r="F79" s="10"/>
      <c r="G79" s="11"/>
      <c r="H79" s="23"/>
      <c r="I79" s="23"/>
      <c r="J79" s="23"/>
      <c r="K79" s="23"/>
      <c r="L79" s="23"/>
      <c r="M79" s="25">
        <f t="shared" si="1"/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6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6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6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6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6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6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6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6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6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6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6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6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6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6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6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6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6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6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6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6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6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6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6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6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6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6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6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6">
        <v>125</v>
      </c>
      <c r="F135" s="10"/>
      <c r="G135" s="11"/>
      <c r="H135" s="23"/>
      <c r="I135" s="23"/>
      <c r="J135" s="23"/>
      <c r="K135" s="23"/>
      <c r="L135" s="23"/>
      <c r="M135" s="25">
        <f t="shared" ref="M135:M196" si="2">(H135+I135+J135+K135+L135)</f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2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2"/>
        <v>0</v>
      </c>
    </row>
    <row r="138" spans="5:13">
      <c r="E138" s="6">
        <v>128</v>
      </c>
      <c r="F138" s="10"/>
      <c r="G138" s="11"/>
      <c r="H138" s="23"/>
      <c r="I138" s="23"/>
      <c r="J138" s="23"/>
      <c r="K138" s="23"/>
      <c r="L138" s="23"/>
      <c r="M138" s="25">
        <f t="shared" si="2"/>
        <v>0</v>
      </c>
    </row>
    <row r="139" spans="5:13">
      <c r="E139" s="6">
        <v>129</v>
      </c>
      <c r="F139" s="10"/>
      <c r="G139" s="11"/>
      <c r="H139" s="23"/>
      <c r="I139" s="23"/>
      <c r="J139" s="23"/>
      <c r="K139" s="23"/>
      <c r="L139" s="23"/>
      <c r="M139" s="25">
        <f t="shared" si="2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2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2"/>
        <v>0</v>
      </c>
    </row>
    <row r="142" spans="5:13">
      <c r="E142" s="6">
        <v>132</v>
      </c>
      <c r="F142" s="10"/>
      <c r="G142" s="11"/>
      <c r="H142" s="23"/>
      <c r="I142" s="23"/>
      <c r="J142" s="23"/>
      <c r="K142" s="23"/>
      <c r="L142" s="23"/>
      <c r="M142" s="25">
        <f t="shared" si="2"/>
        <v>0</v>
      </c>
    </row>
    <row r="143" spans="5:13">
      <c r="E143" s="6">
        <v>133</v>
      </c>
      <c r="F143" s="10"/>
      <c r="G143" s="11"/>
      <c r="H143" s="23"/>
      <c r="I143" s="23"/>
      <c r="J143" s="23"/>
      <c r="K143" s="23"/>
      <c r="L143" s="23"/>
      <c r="M143" s="25">
        <f t="shared" si="2"/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6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6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6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6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6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6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6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6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6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6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6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6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6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6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6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6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6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6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6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6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6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6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6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6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6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6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ref="M197:M221" si="3">(H197+I197+J197+K197+L197)</f>
        <v>0</v>
      </c>
    </row>
    <row r="198" spans="5:13">
      <c r="E198" s="6">
        <v>188</v>
      </c>
      <c r="F198" s="10"/>
      <c r="G198" s="11"/>
      <c r="H198" s="23"/>
      <c r="I198" s="23"/>
      <c r="J198" s="23"/>
      <c r="K198" s="23"/>
      <c r="L198" s="23"/>
      <c r="M198" s="25">
        <f t="shared" si="3"/>
        <v>0</v>
      </c>
    </row>
    <row r="199" spans="5:13">
      <c r="E199" s="6">
        <v>189</v>
      </c>
      <c r="F199" s="10"/>
      <c r="G199" s="11"/>
      <c r="H199" s="23"/>
      <c r="I199" s="23"/>
      <c r="J199" s="23"/>
      <c r="K199" s="23"/>
      <c r="L199" s="23"/>
      <c r="M199" s="25">
        <f t="shared" si="3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3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si="3"/>
        <v>0</v>
      </c>
    </row>
    <row r="202" spans="5:13">
      <c r="E202" s="6">
        <v>192</v>
      </c>
      <c r="F202" s="10"/>
      <c r="G202" s="11"/>
      <c r="H202" s="23"/>
      <c r="I202" s="23"/>
      <c r="J202" s="23"/>
      <c r="K202" s="23"/>
      <c r="L202" s="23"/>
      <c r="M202" s="25">
        <f t="shared" si="3"/>
        <v>0</v>
      </c>
    </row>
    <row r="203" spans="5:13">
      <c r="E203" s="6">
        <v>193</v>
      </c>
      <c r="F203" s="10"/>
      <c r="G203" s="11"/>
      <c r="H203" s="23"/>
      <c r="I203" s="23"/>
      <c r="J203" s="23"/>
      <c r="K203" s="23"/>
      <c r="L203" s="23"/>
      <c r="M203" s="25">
        <f t="shared" si="3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3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si="3"/>
        <v>0</v>
      </c>
    </row>
    <row r="206" spans="5:13">
      <c r="E206" s="6">
        <v>196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6">
        <v>197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6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6">
        <v>201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202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203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6">
        <v>204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6">
        <v>205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206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207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6">
        <v>208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6">
        <v>209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210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211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F222" s="34" t="s">
        <v>7</v>
      </c>
      <c r="G222" s="34"/>
      <c r="H222" s="13">
        <f>SUM(H11:H221)</f>
        <v>0</v>
      </c>
      <c r="I222" s="13">
        <f>SUM(I11:I221)</f>
        <v>0</v>
      </c>
      <c r="J222" s="13">
        <f>SUM(J11:J221)</f>
        <v>0</v>
      </c>
      <c r="K222" s="13">
        <f>SUM(K11:K221)</f>
        <v>0</v>
      </c>
      <c r="L222" s="13">
        <f>SUM(L11:L221)</f>
        <v>0</v>
      </c>
    </row>
    <row r="223" spans="5:13">
      <c r="F223" s="35" t="s">
        <v>8</v>
      </c>
      <c r="G223" s="35"/>
      <c r="H223" s="14">
        <f>(H222*100/H10)</f>
        <v>0</v>
      </c>
      <c r="I223" s="14">
        <f>(I222*100/I10)</f>
        <v>0</v>
      </c>
      <c r="J223" s="14">
        <f>(J222*100/J10)</f>
        <v>0</v>
      </c>
      <c r="K223" s="14">
        <f>(K222*100/K10)</f>
        <v>0</v>
      </c>
      <c r="L223" s="14" t="e">
        <f>(L222*100/L10)</f>
        <v>#DIV/0!</v>
      </c>
    </row>
    <row r="224" spans="5:13" ht="15.75" thickBot="1"/>
    <row r="225" spans="6:8" ht="16.5" thickBot="1">
      <c r="F225" s="36" t="s">
        <v>9</v>
      </c>
      <c r="G225" s="36"/>
      <c r="H225" s="12">
        <v>80.650000000000006</v>
      </c>
    </row>
  </sheetData>
  <mergeCells count="11">
    <mergeCell ref="F222:G222"/>
    <mergeCell ref="F223:G223"/>
    <mergeCell ref="F225:G225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21">
      <formula1>"0,1"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5"/>
  <sheetViews>
    <sheetView workbookViewId="0">
      <selection activeCell="F11" sqref="F11:K221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8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/>
      <c r="I10" s="22"/>
      <c r="J10" s="21"/>
      <c r="K10" s="22"/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ref="M15:M78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0"/>
        <v>0</v>
      </c>
    </row>
    <row r="79" spans="5:13">
      <c r="E79" s="9">
        <v>69</v>
      </c>
      <c r="F79" s="10"/>
      <c r="G79" s="11"/>
      <c r="H79" s="23"/>
      <c r="I79" s="23"/>
      <c r="J79" s="23"/>
      <c r="K79" s="23"/>
      <c r="L79" s="23"/>
      <c r="M79" s="25">
        <f t="shared" ref="M79:M142" si="1">(H79+I79+J79+K79+L79)</f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9">
        <v>129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1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1"/>
        <v>0</v>
      </c>
    </row>
    <row r="143" spans="5:13">
      <c r="E143" s="9">
        <v>133</v>
      </c>
      <c r="F143" s="10"/>
      <c r="G143" s="11"/>
      <c r="H143" s="23"/>
      <c r="I143" s="23"/>
      <c r="J143" s="23"/>
      <c r="K143" s="23"/>
      <c r="L143" s="23"/>
      <c r="M143" s="25">
        <f t="shared" ref="M143:M206" si="2">(H143+I143+J143+K143+L143)</f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9">
        <v>193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si="2"/>
        <v>0</v>
      </c>
    </row>
    <row r="206" spans="5:13">
      <c r="E206" s="9">
        <v>196</v>
      </c>
      <c r="F206" s="10"/>
      <c r="G206" s="11"/>
      <c r="H206" s="23"/>
      <c r="I206" s="23"/>
      <c r="J206" s="23"/>
      <c r="K206" s="23"/>
      <c r="L206" s="23"/>
      <c r="M206" s="25">
        <f t="shared" si="2"/>
        <v>0</v>
      </c>
    </row>
    <row r="207" spans="5:13">
      <c r="E207" s="9">
        <v>197</v>
      </c>
      <c r="F207" s="10"/>
      <c r="G207" s="11"/>
      <c r="H207" s="23"/>
      <c r="I207" s="23"/>
      <c r="J207" s="23"/>
      <c r="K207" s="23"/>
      <c r="L207" s="23"/>
      <c r="M207" s="25">
        <f t="shared" ref="M207:M221" si="3">(H207+I207+J207+K207+L207)</f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201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202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203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204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205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206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207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9">
        <v>208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9">
        <v>209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210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211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F222" s="34" t="s">
        <v>7</v>
      </c>
      <c r="G222" s="34"/>
      <c r="H222" s="13">
        <f>SUM(H11:H221)</f>
        <v>0</v>
      </c>
      <c r="I222" s="13">
        <f>SUM(I11:I221)</f>
        <v>0</v>
      </c>
      <c r="J222" s="13">
        <f>SUM(J11:J221)</f>
        <v>0</v>
      </c>
      <c r="K222" s="13">
        <f>SUM(K11:K221)</f>
        <v>0</v>
      </c>
      <c r="L222" s="13">
        <f>SUM(L11:L221)</f>
        <v>0</v>
      </c>
    </row>
    <row r="223" spans="5:13">
      <c r="F223" s="35" t="s">
        <v>8</v>
      </c>
      <c r="G223" s="35"/>
      <c r="H223" s="14">
        <f>H222/211*100</f>
        <v>0</v>
      </c>
      <c r="I223" s="14">
        <f t="shared" ref="I223:L223" si="4">I222/211*100</f>
        <v>0</v>
      </c>
      <c r="J223" s="14">
        <f t="shared" si="4"/>
        <v>0</v>
      </c>
      <c r="K223" s="14">
        <f t="shared" si="4"/>
        <v>0</v>
      </c>
      <c r="L223" s="14">
        <f t="shared" si="4"/>
        <v>0</v>
      </c>
    </row>
    <row r="224" spans="5:13" ht="15.75" thickBot="1"/>
    <row r="225" spans="6:8" ht="16.5" thickBot="1">
      <c r="F225" s="36" t="s">
        <v>9</v>
      </c>
      <c r="G225" s="36"/>
      <c r="H225" s="12">
        <f>(H223+I223+J223+K223+L223)/H6</f>
        <v>0</v>
      </c>
    </row>
  </sheetData>
  <mergeCells count="11">
    <mergeCell ref="F222:G222"/>
    <mergeCell ref="F223:G223"/>
    <mergeCell ref="F225:G225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21">
      <formula1>"0,1"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0"/>
  <sheetViews>
    <sheetView workbookViewId="0">
      <selection activeCell="F11" sqref="F11:K216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8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206</v>
      </c>
      <c r="I10" s="22">
        <v>206</v>
      </c>
      <c r="J10" s="21">
        <v>206</v>
      </c>
      <c r="K10" s="22">
        <v>206</v>
      </c>
      <c r="L10" s="21"/>
      <c r="M10" s="58"/>
    </row>
    <row r="11" spans="5:13">
      <c r="E11" s="9">
        <v>1</v>
      </c>
      <c r="F11" s="10"/>
      <c r="G11" s="11"/>
      <c r="H11" s="23"/>
      <c r="I11" s="23"/>
      <c r="J11" s="23"/>
      <c r="K11" s="23"/>
      <c r="L11" s="23"/>
      <c r="M11" s="25">
        <f t="shared" ref="M11:M73" si="0"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 t="shared" si="0"/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 t="shared" si="0"/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 t="shared" si="0"/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si="0"/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ref="M74:M136" si="1">(H74+I74+J74+K74+L74)</f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1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1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1"/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1"/>
        <v>0</v>
      </c>
    </row>
    <row r="79" spans="5:13">
      <c r="E79" s="9">
        <v>69</v>
      </c>
      <c r="F79" s="10"/>
      <c r="G79" s="11"/>
      <c r="H79" s="23"/>
      <c r="I79" s="23"/>
      <c r="J79" s="23"/>
      <c r="K79" s="23"/>
      <c r="L79" s="23"/>
      <c r="M79" s="25">
        <f t="shared" si="1"/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ref="M137:M200" si="2">(H137+I137+J137+K137+L137)</f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si="2"/>
        <v>0</v>
      </c>
    </row>
    <row r="139" spans="5:13">
      <c r="E139" s="9">
        <v>129</v>
      </c>
      <c r="F139" s="10"/>
      <c r="G139" s="11"/>
      <c r="H139" s="23"/>
      <c r="I139" s="23"/>
      <c r="J139" s="23"/>
      <c r="K139" s="23"/>
      <c r="L139" s="23"/>
      <c r="M139" s="25">
        <f t="shared" si="2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2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2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2"/>
        <v>0</v>
      </c>
    </row>
    <row r="143" spans="5:13">
      <c r="E143" s="9">
        <v>133</v>
      </c>
      <c r="F143" s="10"/>
      <c r="G143" s="11"/>
      <c r="H143" s="23"/>
      <c r="I143" s="23"/>
      <c r="J143" s="23"/>
      <c r="K143" s="23"/>
      <c r="L143" s="23"/>
      <c r="M143" s="25">
        <f t="shared" si="2"/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ref="M201:M216" si="3">(H201+I201+J201+K201+L201)</f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si="3"/>
        <v>0</v>
      </c>
    </row>
    <row r="203" spans="5:13">
      <c r="E203" s="9">
        <v>193</v>
      </c>
      <c r="F203" s="10"/>
      <c r="G203" s="11"/>
      <c r="H203" s="23"/>
      <c r="I203" s="23"/>
      <c r="J203" s="23"/>
      <c r="K203" s="23"/>
      <c r="L203" s="23"/>
      <c r="M203" s="25">
        <f t="shared" si="3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3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si="3"/>
        <v>0</v>
      </c>
    </row>
    <row r="206" spans="5:13">
      <c r="E206" s="9">
        <v>196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9">
        <v>197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201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202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203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204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205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206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F217" s="34" t="s">
        <v>7</v>
      </c>
      <c r="G217" s="34"/>
      <c r="H217" s="13">
        <f>SUM(H11:H216)</f>
        <v>0</v>
      </c>
      <c r="I217" s="13">
        <f>SUM(I11:I216)</f>
        <v>0</v>
      </c>
      <c r="J217" s="13">
        <f>SUM(J11:J216)</f>
        <v>0</v>
      </c>
      <c r="K217" s="13">
        <f>SUM(K11:K216)</f>
        <v>0</v>
      </c>
      <c r="L217" s="13">
        <f>SUM(L11:L216)</f>
        <v>0</v>
      </c>
    </row>
    <row r="218" spans="5:13">
      <c r="F218" s="35" t="s">
        <v>8</v>
      </c>
      <c r="G218" s="35"/>
      <c r="H218" s="14">
        <f>(H217*100/H10)</f>
        <v>0</v>
      </c>
      <c r="I218" s="14">
        <f>(I217*100/I10)</f>
        <v>0</v>
      </c>
      <c r="J218" s="14">
        <f>(J217*100/J10)</f>
        <v>0</v>
      </c>
      <c r="K218" s="14">
        <f>(K217*100/K10)</f>
        <v>0</v>
      </c>
      <c r="L218" s="14" t="e">
        <f>(L217*100/L10)</f>
        <v>#DIV/0!</v>
      </c>
    </row>
    <row r="219" spans="5:13" ht="15.75" thickBot="1"/>
    <row r="220" spans="5:13" ht="16.5" thickBot="1">
      <c r="F220" s="36" t="s">
        <v>9</v>
      </c>
      <c r="G220" s="36"/>
      <c r="H220" s="12">
        <v>80.33</v>
      </c>
    </row>
  </sheetData>
  <mergeCells count="11">
    <mergeCell ref="F217:G217"/>
    <mergeCell ref="F218:G218"/>
    <mergeCell ref="F220:G220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16">
      <formula1>"0,1"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0"/>
  <sheetViews>
    <sheetView workbookViewId="0">
      <selection activeCell="F11" sqref="F11:K216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29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206</v>
      </c>
      <c r="I10" s="22">
        <v>206</v>
      </c>
      <c r="J10" s="21">
        <v>206</v>
      </c>
      <c r="K10" s="22">
        <v>206</v>
      </c>
      <c r="L10" s="21">
        <v>208</v>
      </c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ref="M15:M77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69</v>
      </c>
      <c r="F78" s="10"/>
      <c r="G78" s="11"/>
      <c r="H78" s="23"/>
      <c r="I78" s="23"/>
      <c r="J78" s="23"/>
      <c r="K78" s="23"/>
      <c r="L78" s="23"/>
      <c r="M78" s="25">
        <f t="shared" ref="M78:M140" si="1">(H78+I78+J78+K78+L78)</f>
        <v>0</v>
      </c>
    </row>
    <row r="79" spans="5:13">
      <c r="E79" s="9">
        <v>70</v>
      </c>
      <c r="F79" s="10"/>
      <c r="G79" s="11"/>
      <c r="H79" s="23"/>
      <c r="I79" s="23"/>
      <c r="J79" s="23"/>
      <c r="K79" s="23"/>
      <c r="L79" s="23"/>
      <c r="M79" s="25">
        <f t="shared" si="1"/>
        <v>0</v>
      </c>
    </row>
    <row r="80" spans="5:13">
      <c r="E80" s="9">
        <v>71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72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73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74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75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76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77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78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79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80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81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82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83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84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85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86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87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88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89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90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91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92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93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94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95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97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98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99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100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101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102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103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104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105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106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107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108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109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110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111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112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113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114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115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116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117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118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119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120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121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122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123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124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125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126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127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128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129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130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9">
        <v>131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132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133</v>
      </c>
      <c r="F141" s="10"/>
      <c r="G141" s="11"/>
      <c r="H141" s="23"/>
      <c r="I141" s="23"/>
      <c r="J141" s="23"/>
      <c r="K141" s="23"/>
      <c r="L141" s="23"/>
      <c r="M141" s="25">
        <f t="shared" ref="M141:M204" si="2">(H141+I141+J141+K141+L141)</f>
        <v>0</v>
      </c>
    </row>
    <row r="142" spans="5:13">
      <c r="E142" s="9">
        <v>134</v>
      </c>
      <c r="F142" s="10"/>
      <c r="G142" s="11"/>
      <c r="H142" s="23"/>
      <c r="I142" s="23"/>
      <c r="J142" s="23"/>
      <c r="K142" s="23"/>
      <c r="L142" s="23"/>
      <c r="M142" s="25">
        <f t="shared" si="2"/>
        <v>0</v>
      </c>
    </row>
    <row r="143" spans="5:13">
      <c r="E143" s="9">
        <v>135</v>
      </c>
      <c r="F143" s="10"/>
      <c r="G143" s="11"/>
      <c r="H143" s="23"/>
      <c r="I143" s="23"/>
      <c r="J143" s="23"/>
      <c r="K143" s="23"/>
      <c r="L143" s="23"/>
      <c r="M143" s="25">
        <f t="shared" si="2"/>
        <v>0</v>
      </c>
    </row>
    <row r="144" spans="5:13">
      <c r="E144" s="9">
        <v>136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137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138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139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140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141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142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143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144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145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146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147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148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149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150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151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152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153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154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155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156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157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158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159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160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161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162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163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164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165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166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167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168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169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170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171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172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173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174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175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176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177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178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179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180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181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182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183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184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185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186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187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188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189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190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191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192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193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194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9">
        <v>195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196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197</v>
      </c>
      <c r="F205" s="10"/>
      <c r="G205" s="11"/>
      <c r="H205" s="23"/>
      <c r="I205" s="23"/>
      <c r="J205" s="23"/>
      <c r="K205" s="23"/>
      <c r="L205" s="23"/>
      <c r="M205" s="25">
        <f t="shared" ref="M205:M216" si="3">(H205+I205+J205+K205+L205)</f>
        <v>0</v>
      </c>
    </row>
    <row r="206" spans="5:13">
      <c r="E206" s="9">
        <v>198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9">
        <v>199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200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201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202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203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204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205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206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207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208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F217" s="34" t="s">
        <v>7</v>
      </c>
      <c r="G217" s="34"/>
      <c r="H217" s="13">
        <f>SUM(H11:H216)</f>
        <v>0</v>
      </c>
      <c r="I217" s="13">
        <f>SUM(I11:I216)</f>
        <v>0</v>
      </c>
      <c r="J217" s="13">
        <f>SUM(J11:J216)</f>
        <v>0</v>
      </c>
      <c r="K217" s="13">
        <f>SUM(K11:K216)</f>
        <v>0</v>
      </c>
      <c r="L217" s="13">
        <f>SUM(L11:L216)</f>
        <v>0</v>
      </c>
    </row>
    <row r="218" spans="5:13">
      <c r="F218" s="35" t="s">
        <v>8</v>
      </c>
      <c r="G218" s="35"/>
      <c r="H218" s="14">
        <v>75.239999999999995</v>
      </c>
      <c r="I218" s="14">
        <v>78.64</v>
      </c>
      <c r="J218" s="14">
        <v>78.150000000000006</v>
      </c>
      <c r="K218" s="14">
        <v>76.69</v>
      </c>
      <c r="L218" s="14">
        <f t="shared" ref="L218" si="4">L217/234*100</f>
        <v>0</v>
      </c>
    </row>
    <row r="219" spans="5:13" ht="15.75" thickBot="1"/>
    <row r="220" spans="5:13" ht="16.5" thickBot="1">
      <c r="F220" s="36" t="s">
        <v>9</v>
      </c>
      <c r="G220" s="36"/>
      <c r="H220" s="12">
        <v>77.180000000000007</v>
      </c>
    </row>
  </sheetData>
  <mergeCells count="11">
    <mergeCell ref="F217:G217"/>
    <mergeCell ref="F218:G218"/>
    <mergeCell ref="F220:G220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16">
      <formula1>"0,1"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14"/>
  <sheetViews>
    <sheetView workbookViewId="0">
      <selection activeCell="F11" sqref="F11:L210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0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206</v>
      </c>
      <c r="I10" s="22">
        <v>206</v>
      </c>
      <c r="J10" s="21">
        <v>206</v>
      </c>
      <c r="K10" s="22">
        <v>206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 t="shared" ref="M14:M76" si="0"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si="0"/>
        <v>0</v>
      </c>
    </row>
    <row r="16" spans="5:13">
      <c r="E16" s="6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6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6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6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6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6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6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6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6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6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6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6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6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ref="M77:M137" si="1">(H77+I77+J77+K77+L77)</f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1"/>
        <v>0</v>
      </c>
    </row>
    <row r="79" spans="5:13">
      <c r="E79" s="9">
        <v>69</v>
      </c>
      <c r="F79" s="10"/>
      <c r="G79" s="11"/>
      <c r="H79" s="23"/>
      <c r="I79" s="23"/>
      <c r="J79" s="23"/>
      <c r="K79" s="23"/>
      <c r="L79" s="23"/>
      <c r="M79" s="25">
        <f t="shared" si="1"/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6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6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6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6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6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6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6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6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6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6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6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6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ref="M138:M199" si="2">(H138+I138+J138+K138+L138)</f>
        <v>0</v>
      </c>
    </row>
    <row r="139" spans="5:13">
      <c r="E139" s="9">
        <v>129</v>
      </c>
      <c r="F139" s="10"/>
      <c r="G139" s="11"/>
      <c r="H139" s="23"/>
      <c r="I139" s="23"/>
      <c r="J139" s="23"/>
      <c r="K139" s="23"/>
      <c r="L139" s="23"/>
      <c r="M139" s="25">
        <f t="shared" si="2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2"/>
        <v>0</v>
      </c>
    </row>
    <row r="141" spans="5:13">
      <c r="E141" s="6">
        <v>131</v>
      </c>
      <c r="F141" s="10"/>
      <c r="G141" s="11"/>
      <c r="H141" s="23"/>
      <c r="I141" s="23"/>
      <c r="J141" s="23"/>
      <c r="K141" s="23"/>
      <c r="L141" s="23"/>
      <c r="M141" s="25">
        <f t="shared" si="2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2"/>
        <v>0</v>
      </c>
    </row>
    <row r="143" spans="5:13">
      <c r="E143" s="9">
        <v>133</v>
      </c>
      <c r="F143" s="10"/>
      <c r="G143" s="11"/>
      <c r="H143" s="23"/>
      <c r="I143" s="23"/>
      <c r="J143" s="23"/>
      <c r="K143" s="23"/>
      <c r="L143" s="23"/>
      <c r="M143" s="25">
        <f t="shared" si="2"/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6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6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6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6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6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6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6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6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6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6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6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ref="M200:M210" si="3">(H200+I200+J200+K200+L200)</f>
        <v>0</v>
      </c>
    </row>
    <row r="201" spans="5:13">
      <c r="E201" s="6">
        <v>191</v>
      </c>
      <c r="F201" s="10"/>
      <c r="G201" s="11"/>
      <c r="H201" s="23"/>
      <c r="I201" s="23"/>
      <c r="J201" s="23"/>
      <c r="K201" s="23"/>
      <c r="L201" s="23"/>
      <c r="M201" s="25">
        <f t="shared" si="3"/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si="3"/>
        <v>0</v>
      </c>
    </row>
    <row r="203" spans="5:13">
      <c r="E203" s="9">
        <v>193</v>
      </c>
      <c r="F203" s="10"/>
      <c r="G203" s="11"/>
      <c r="H203" s="23"/>
      <c r="I203" s="23"/>
      <c r="J203" s="23"/>
      <c r="K203" s="23"/>
      <c r="L203" s="23"/>
      <c r="M203" s="25">
        <f t="shared" si="3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3"/>
        <v>0</v>
      </c>
    </row>
    <row r="205" spans="5:13">
      <c r="E205" s="9">
        <v>202</v>
      </c>
      <c r="F205" s="10"/>
      <c r="G205" s="11"/>
      <c r="H205" s="23"/>
      <c r="I205" s="23"/>
      <c r="J205" s="23"/>
      <c r="K205" s="23"/>
      <c r="L205" s="23"/>
      <c r="M205" s="25">
        <f t="shared" si="3"/>
        <v>0</v>
      </c>
    </row>
    <row r="206" spans="5:13">
      <c r="E206" s="9">
        <v>203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9">
        <v>204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205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6">
        <v>206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207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F211" s="34" t="s">
        <v>7</v>
      </c>
      <c r="G211" s="34"/>
      <c r="H211" s="13">
        <f>SUM(H11:H210)</f>
        <v>0</v>
      </c>
      <c r="I211" s="13">
        <f>SUM(I11:I210)</f>
        <v>0</v>
      </c>
      <c r="J211" s="13">
        <f>SUM(J11:J210)</f>
        <v>0</v>
      </c>
      <c r="K211" s="13">
        <f>SUM(K11:K210)</f>
        <v>0</v>
      </c>
      <c r="L211" s="13">
        <f>SUM(L11:L210)</f>
        <v>0</v>
      </c>
    </row>
    <row r="212" spans="5:13">
      <c r="F212" s="35" t="s">
        <v>8</v>
      </c>
      <c r="G212" s="35"/>
      <c r="H212" s="14">
        <f>H211/221*100</f>
        <v>0</v>
      </c>
      <c r="I212" s="14">
        <f t="shared" ref="I212:L212" si="4">I211/221*100</f>
        <v>0</v>
      </c>
      <c r="J212" s="14">
        <f t="shared" si="4"/>
        <v>0</v>
      </c>
      <c r="K212" s="14">
        <f t="shared" si="4"/>
        <v>0</v>
      </c>
      <c r="L212" s="14">
        <f t="shared" si="4"/>
        <v>0</v>
      </c>
    </row>
    <row r="213" spans="5:13" ht="15.75" thickBot="1"/>
    <row r="214" spans="5:13" ht="16.5" thickBot="1">
      <c r="F214" s="36" t="s">
        <v>9</v>
      </c>
      <c r="G214" s="36"/>
      <c r="H214" s="12">
        <v>71.94</v>
      </c>
    </row>
  </sheetData>
  <mergeCells count="11">
    <mergeCell ref="F211:G211"/>
    <mergeCell ref="F212:G212"/>
    <mergeCell ref="F214:G214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10">
      <formula1>"0,1"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45"/>
  <sheetViews>
    <sheetView workbookViewId="0">
      <selection activeCell="H11" sqref="H11:K210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3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/>
      <c r="I10" s="22"/>
      <c r="J10" s="21"/>
      <c r="K10" s="22"/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 t="shared" ref="M14:M76" si="0">(H14+I14+J14+K14+L14)</f>
        <v>0</v>
      </c>
    </row>
    <row r="15" spans="5:13">
      <c r="E15" s="6">
        <v>5</v>
      </c>
      <c r="F15" s="10"/>
      <c r="G15" s="11"/>
      <c r="H15" s="23"/>
      <c r="I15" s="23"/>
      <c r="J15" s="23"/>
      <c r="K15" s="23"/>
      <c r="L15" s="23"/>
      <c r="M15" s="25">
        <f t="shared" si="0"/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6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6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6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6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6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6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6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6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6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6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6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6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6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6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6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ref="M77:M138" si="1">(H77+I77+J77+K77+L77)</f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1"/>
        <v>0</v>
      </c>
    </row>
    <row r="79" spans="5:13">
      <c r="E79" s="6">
        <v>69</v>
      </c>
      <c r="F79" s="10"/>
      <c r="G79" s="11"/>
      <c r="H79" s="23"/>
      <c r="I79" s="23"/>
      <c r="J79" s="23"/>
      <c r="K79" s="23"/>
      <c r="L79" s="23"/>
      <c r="M79" s="25">
        <f t="shared" si="1"/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6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6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6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6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6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6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6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6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6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6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6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6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6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6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6">
        <v>129</v>
      </c>
      <c r="F139" s="10"/>
      <c r="G139" s="11"/>
      <c r="H139" s="23"/>
      <c r="I139" s="23"/>
      <c r="J139" s="23"/>
      <c r="K139" s="23"/>
      <c r="L139" s="23"/>
      <c r="M139" s="25">
        <f t="shared" ref="M139:M201" si="2">(H139+I139+J139+K139+L139)</f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2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2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2"/>
        <v>0</v>
      </c>
    </row>
    <row r="143" spans="5:13">
      <c r="E143" s="6">
        <v>133</v>
      </c>
      <c r="F143" s="10"/>
      <c r="G143" s="11"/>
      <c r="H143" s="23"/>
      <c r="I143" s="23"/>
      <c r="J143" s="23"/>
      <c r="K143" s="23"/>
      <c r="L143" s="23"/>
      <c r="M143" s="25">
        <f t="shared" si="2"/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6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6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6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6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6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6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6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6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6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6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6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6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6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6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ref="M202:M241" si="3">(H202+I202+J202+K202+L202)</f>
        <v>0</v>
      </c>
    </row>
    <row r="203" spans="5:13">
      <c r="E203" s="6">
        <v>193</v>
      </c>
      <c r="F203" s="10"/>
      <c r="G203" s="11"/>
      <c r="H203" s="23"/>
      <c r="I203" s="23"/>
      <c r="J203" s="23"/>
      <c r="K203" s="23"/>
      <c r="L203" s="23"/>
      <c r="M203" s="25">
        <f t="shared" si="3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3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si="3"/>
        <v>0</v>
      </c>
    </row>
    <row r="206" spans="5:13">
      <c r="E206" s="9">
        <v>196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6">
        <v>197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6">
        <v>201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202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203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204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6">
        <v>205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206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207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9">
        <v>208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6">
        <v>209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210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211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E222" s="9">
        <v>212</v>
      </c>
      <c r="F222" s="10"/>
      <c r="G222" s="11"/>
      <c r="H222" s="23"/>
      <c r="I222" s="23"/>
      <c r="J222" s="23"/>
      <c r="K222" s="23"/>
      <c r="L222" s="23"/>
      <c r="M222" s="25">
        <f t="shared" si="3"/>
        <v>0</v>
      </c>
    </row>
    <row r="223" spans="5:13">
      <c r="E223" s="6">
        <v>213</v>
      </c>
      <c r="F223" s="10"/>
      <c r="G223" s="11"/>
      <c r="H223" s="23"/>
      <c r="I223" s="23"/>
      <c r="J223" s="23"/>
      <c r="K223" s="23"/>
      <c r="L223" s="23"/>
      <c r="M223" s="25">
        <f t="shared" si="3"/>
        <v>0</v>
      </c>
    </row>
    <row r="224" spans="5:13">
      <c r="E224" s="9">
        <v>214</v>
      </c>
      <c r="F224" s="10"/>
      <c r="G224" s="11"/>
      <c r="H224" s="23"/>
      <c r="I224" s="23"/>
      <c r="J224" s="23"/>
      <c r="K224" s="23"/>
      <c r="L224" s="23"/>
      <c r="M224" s="25">
        <f t="shared" si="3"/>
        <v>0</v>
      </c>
    </row>
    <row r="225" spans="5:13">
      <c r="E225" s="9">
        <v>215</v>
      </c>
      <c r="F225" s="10"/>
      <c r="G225" s="11"/>
      <c r="H225" s="23"/>
      <c r="I225" s="23"/>
      <c r="J225" s="23"/>
      <c r="K225" s="23"/>
      <c r="L225" s="23"/>
      <c r="M225" s="25">
        <f t="shared" si="3"/>
        <v>0</v>
      </c>
    </row>
    <row r="226" spans="5:13">
      <c r="E226" s="9"/>
      <c r="F226" s="10"/>
      <c r="G226" s="11"/>
      <c r="H226" s="23"/>
      <c r="I226" s="23"/>
      <c r="J226" s="23"/>
      <c r="K226" s="23"/>
      <c r="L226" s="23"/>
      <c r="M226" s="25">
        <f t="shared" si="3"/>
        <v>0</v>
      </c>
    </row>
    <row r="227" spans="5:13">
      <c r="E227" s="9"/>
      <c r="F227" s="10"/>
      <c r="G227" s="11"/>
      <c r="H227" s="23"/>
      <c r="I227" s="23"/>
      <c r="J227" s="23"/>
      <c r="K227" s="23"/>
      <c r="L227" s="23"/>
      <c r="M227" s="25">
        <f t="shared" si="3"/>
        <v>0</v>
      </c>
    </row>
    <row r="228" spans="5:13">
      <c r="E228" s="9"/>
      <c r="F228" s="10"/>
      <c r="G228" s="11"/>
      <c r="H228" s="23"/>
      <c r="I228" s="23"/>
      <c r="J228" s="23"/>
      <c r="K228" s="23"/>
      <c r="L228" s="23"/>
      <c r="M228" s="25">
        <f t="shared" si="3"/>
        <v>0</v>
      </c>
    </row>
    <row r="229" spans="5:13">
      <c r="E229" s="9"/>
      <c r="F229" s="10"/>
      <c r="G229" s="11"/>
      <c r="H229" s="23"/>
      <c r="I229" s="23"/>
      <c r="J229" s="23"/>
      <c r="K229" s="23"/>
      <c r="L229" s="23"/>
      <c r="M229" s="25">
        <f t="shared" si="3"/>
        <v>0</v>
      </c>
    </row>
    <row r="230" spans="5:13">
      <c r="E230" s="9"/>
      <c r="F230" s="10"/>
      <c r="G230" s="11"/>
      <c r="H230" s="23"/>
      <c r="I230" s="23"/>
      <c r="J230" s="23"/>
      <c r="K230" s="23"/>
      <c r="L230" s="23"/>
      <c r="M230" s="25">
        <f t="shared" si="3"/>
        <v>0</v>
      </c>
    </row>
    <row r="231" spans="5:13">
      <c r="E231" s="9"/>
      <c r="F231" s="10"/>
      <c r="G231" s="11"/>
      <c r="H231" s="23"/>
      <c r="I231" s="23"/>
      <c r="J231" s="23"/>
      <c r="K231" s="23"/>
      <c r="L231" s="23"/>
      <c r="M231" s="25">
        <f t="shared" si="3"/>
        <v>0</v>
      </c>
    </row>
    <row r="232" spans="5:13">
      <c r="E232" s="9"/>
      <c r="F232" s="10"/>
      <c r="G232" s="11"/>
      <c r="H232" s="23"/>
      <c r="I232" s="23"/>
      <c r="J232" s="23"/>
      <c r="K232" s="23"/>
      <c r="L232" s="23"/>
      <c r="M232" s="25">
        <f t="shared" si="3"/>
        <v>0</v>
      </c>
    </row>
    <row r="233" spans="5:13">
      <c r="E233" s="9"/>
      <c r="F233" s="10"/>
      <c r="G233" s="11"/>
      <c r="H233" s="23"/>
      <c r="I233" s="23"/>
      <c r="J233" s="23"/>
      <c r="K233" s="23"/>
      <c r="L233" s="23"/>
      <c r="M233" s="25">
        <f t="shared" si="3"/>
        <v>0</v>
      </c>
    </row>
    <row r="234" spans="5:13">
      <c r="E234" s="9"/>
      <c r="F234" s="10"/>
      <c r="G234" s="11"/>
      <c r="H234" s="23"/>
      <c r="I234" s="23"/>
      <c r="J234" s="23"/>
      <c r="K234" s="23"/>
      <c r="L234" s="23"/>
      <c r="M234" s="25">
        <f t="shared" si="3"/>
        <v>0</v>
      </c>
    </row>
    <row r="235" spans="5:13">
      <c r="E235" s="9"/>
      <c r="F235" s="10"/>
      <c r="G235" s="11"/>
      <c r="H235" s="23"/>
      <c r="I235" s="23"/>
      <c r="J235" s="23"/>
      <c r="K235" s="23"/>
      <c r="L235" s="23"/>
      <c r="M235" s="25">
        <f t="shared" si="3"/>
        <v>0</v>
      </c>
    </row>
    <row r="236" spans="5:13">
      <c r="E236" s="9"/>
      <c r="F236" s="10"/>
      <c r="G236" s="11"/>
      <c r="H236" s="23"/>
      <c r="I236" s="23"/>
      <c r="J236" s="23"/>
      <c r="K236" s="23"/>
      <c r="L236" s="23"/>
      <c r="M236" s="25">
        <f t="shared" si="3"/>
        <v>0</v>
      </c>
    </row>
    <row r="237" spans="5:13">
      <c r="E237" s="9"/>
      <c r="F237" s="10"/>
      <c r="G237" s="11"/>
      <c r="H237" s="23"/>
      <c r="I237" s="23"/>
      <c r="J237" s="23"/>
      <c r="K237" s="23"/>
      <c r="L237" s="23"/>
      <c r="M237" s="25">
        <f t="shared" si="3"/>
        <v>0</v>
      </c>
    </row>
    <row r="238" spans="5:13">
      <c r="E238" s="9"/>
      <c r="F238" s="10"/>
      <c r="G238" s="11"/>
      <c r="H238" s="23"/>
      <c r="I238" s="23"/>
      <c r="J238" s="23"/>
      <c r="K238" s="23"/>
      <c r="L238" s="23"/>
      <c r="M238" s="25">
        <f t="shared" si="3"/>
        <v>0</v>
      </c>
    </row>
    <row r="239" spans="5:13">
      <c r="E239" s="9"/>
      <c r="F239" s="10"/>
      <c r="G239" s="11"/>
      <c r="H239" s="23"/>
      <c r="I239" s="23"/>
      <c r="J239" s="23"/>
      <c r="K239" s="23"/>
      <c r="L239" s="23"/>
      <c r="M239" s="25">
        <f>(H239+I239+J239+K239+L239)</f>
        <v>0</v>
      </c>
    </row>
    <row r="240" spans="5:13">
      <c r="E240" s="9"/>
      <c r="F240" s="10"/>
      <c r="G240" s="11"/>
      <c r="H240" s="23"/>
      <c r="I240" s="23"/>
      <c r="J240" s="23"/>
      <c r="K240" s="23"/>
      <c r="L240" s="23"/>
      <c r="M240" s="25">
        <f>(H240+I240+J240+K240+L240)</f>
        <v>0</v>
      </c>
    </row>
    <row r="241" spans="5:13">
      <c r="E241" s="9"/>
      <c r="F241" s="10"/>
      <c r="G241" s="11"/>
      <c r="H241" s="23"/>
      <c r="I241" s="23"/>
      <c r="J241" s="23"/>
      <c r="K241" s="23"/>
      <c r="L241" s="23"/>
      <c r="M241" s="25">
        <f t="shared" si="3"/>
        <v>0</v>
      </c>
    </row>
    <row r="242" spans="5:13">
      <c r="F242" s="34" t="s">
        <v>7</v>
      </c>
      <c r="G242" s="34"/>
      <c r="H242" s="13">
        <f>SUM(H11:H241)</f>
        <v>0</v>
      </c>
      <c r="I242" s="13">
        <f>SUM(I11:I241)</f>
        <v>0</v>
      </c>
      <c r="J242" s="13">
        <f>SUM(J11:J241)</f>
        <v>0</v>
      </c>
      <c r="K242" s="13">
        <f>SUM(K11:K241)</f>
        <v>0</v>
      </c>
      <c r="L242" s="13">
        <f>SUM(L11:L241)</f>
        <v>0</v>
      </c>
    </row>
    <row r="243" spans="5:13">
      <c r="F243" s="35" t="s">
        <v>8</v>
      </c>
      <c r="G243" s="35"/>
      <c r="H243" s="14">
        <f>H242/221*100</f>
        <v>0</v>
      </c>
      <c r="I243" s="14">
        <f t="shared" ref="I243:L243" si="4">I242/221*100</f>
        <v>0</v>
      </c>
      <c r="J243" s="14">
        <f t="shared" si="4"/>
        <v>0</v>
      </c>
      <c r="K243" s="14">
        <f t="shared" si="4"/>
        <v>0</v>
      </c>
      <c r="L243" s="14">
        <f t="shared" si="4"/>
        <v>0</v>
      </c>
    </row>
    <row r="244" spans="5:13" ht="15.75" thickBot="1"/>
    <row r="245" spans="5:13" ht="16.5" thickBot="1">
      <c r="F245" s="36" t="s">
        <v>9</v>
      </c>
      <c r="G245" s="36"/>
      <c r="H245" s="12">
        <v>80.400000000000006</v>
      </c>
    </row>
  </sheetData>
  <mergeCells count="11">
    <mergeCell ref="F245:G245"/>
    <mergeCell ref="E2:M3"/>
    <mergeCell ref="E4:K5"/>
    <mergeCell ref="L4:M4"/>
    <mergeCell ref="E6:G6"/>
    <mergeCell ref="I6:M7"/>
    <mergeCell ref="E7:G9"/>
    <mergeCell ref="H8:L8"/>
    <mergeCell ref="M9:M10"/>
    <mergeCell ref="F242:G242"/>
    <mergeCell ref="F243:G243"/>
  </mergeCells>
  <dataValidations count="1">
    <dataValidation type="list" allowBlank="1" showInputMessage="1" showErrorMessage="1" sqref="H11:L241">
      <formula1>"0,1"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14"/>
  <sheetViews>
    <sheetView workbookViewId="0">
      <selection activeCell="F11" sqref="F11:K210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1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213</v>
      </c>
      <c r="I10" s="22">
        <v>213</v>
      </c>
      <c r="J10" s="21">
        <v>213</v>
      </c>
      <c r="K10" s="22">
        <v>213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6">
        <v>5</v>
      </c>
      <c r="F15" s="10"/>
      <c r="G15" s="11"/>
      <c r="H15" s="23"/>
      <c r="I15" s="23"/>
      <c r="J15" s="23"/>
      <c r="K15" s="23"/>
      <c r="L15" s="23"/>
      <c r="M15" s="25">
        <f t="shared" ref="M15:M78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6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6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6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6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6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6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6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6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6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6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6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6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6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6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6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68</v>
      </c>
      <c r="F78" s="10"/>
      <c r="G78" s="11"/>
      <c r="H78" s="23"/>
      <c r="I78" s="23"/>
      <c r="J78" s="23"/>
      <c r="K78" s="23"/>
      <c r="L78" s="23"/>
      <c r="M78" s="25">
        <f t="shared" si="0"/>
        <v>0</v>
      </c>
    </row>
    <row r="79" spans="5:13">
      <c r="E79" s="6">
        <v>69</v>
      </c>
      <c r="F79" s="10"/>
      <c r="G79" s="11"/>
      <c r="H79" s="23"/>
      <c r="I79" s="23"/>
      <c r="J79" s="23"/>
      <c r="K79" s="23"/>
      <c r="L79" s="23"/>
      <c r="M79" s="25">
        <f t="shared" ref="M79:M142" si="1">(H79+I79+J79+K79+L79)</f>
        <v>0</v>
      </c>
    </row>
    <row r="80" spans="5:13">
      <c r="E80" s="9">
        <v>70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71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72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6">
        <v>73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74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75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76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6">
        <v>77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78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79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80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6">
        <v>81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82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83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84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6">
        <v>85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86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87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88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6">
        <v>89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90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91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92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6">
        <v>93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94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95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96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6">
        <v>97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98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99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100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6">
        <v>101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102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103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104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6">
        <v>105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106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107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108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6">
        <v>109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110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111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112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6">
        <v>113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114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115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116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6">
        <v>117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118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119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120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6">
        <v>121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122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123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124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6">
        <v>125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126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127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128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6">
        <v>129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130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131</v>
      </c>
      <c r="F141" s="10"/>
      <c r="G141" s="11"/>
      <c r="H141" s="23"/>
      <c r="I141" s="23"/>
      <c r="J141" s="23"/>
      <c r="K141" s="23"/>
      <c r="L141" s="23"/>
      <c r="M141" s="25">
        <f t="shared" si="1"/>
        <v>0</v>
      </c>
    </row>
    <row r="142" spans="5:13">
      <c r="E142" s="9">
        <v>132</v>
      </c>
      <c r="F142" s="10"/>
      <c r="G142" s="11"/>
      <c r="H142" s="23"/>
      <c r="I142" s="23"/>
      <c r="J142" s="23"/>
      <c r="K142" s="23"/>
      <c r="L142" s="23"/>
      <c r="M142" s="25">
        <f t="shared" si="1"/>
        <v>0</v>
      </c>
    </row>
    <row r="143" spans="5:13">
      <c r="E143" s="6">
        <v>133</v>
      </c>
      <c r="F143" s="10"/>
      <c r="G143" s="11"/>
      <c r="H143" s="23"/>
      <c r="I143" s="23"/>
      <c r="J143" s="23"/>
      <c r="K143" s="23"/>
      <c r="L143" s="23"/>
      <c r="M143" s="25">
        <f t="shared" ref="M143:M204" si="2">(H143+I143+J143+K143+L143)</f>
        <v>0</v>
      </c>
    </row>
    <row r="144" spans="5:13">
      <c r="E144" s="9">
        <v>134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135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136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6">
        <v>137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138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139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140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6">
        <v>141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142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143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144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6">
        <v>145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146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147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148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6">
        <v>149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150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151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152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6">
        <v>153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154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155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156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6">
        <v>157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158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159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160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6">
        <v>161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162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163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164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6">
        <v>165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166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167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168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6">
        <v>169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170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171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172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6">
        <v>173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174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175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176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6">
        <v>177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178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179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180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6">
        <v>181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182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183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184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6">
        <v>185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186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187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188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6">
        <v>189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190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191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192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6">
        <v>193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194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195</v>
      </c>
      <c r="F205" s="10"/>
      <c r="G205" s="11"/>
      <c r="H205" s="23"/>
      <c r="I205" s="23"/>
      <c r="J205" s="23"/>
      <c r="K205" s="23"/>
      <c r="L205" s="23"/>
      <c r="M205" s="25">
        <f t="shared" ref="M205:M212" si="3">(H205+I205+J205+K205+L205)</f>
        <v>0</v>
      </c>
    </row>
    <row r="206" spans="5:13">
      <c r="E206" s="9">
        <v>196</v>
      </c>
      <c r="F206" s="10"/>
      <c r="G206" s="11"/>
      <c r="H206" s="23"/>
      <c r="I206" s="23"/>
      <c r="J206" s="23"/>
      <c r="K206" s="23"/>
      <c r="L206" s="23"/>
      <c r="M206" s="25">
        <f t="shared" si="3"/>
        <v>0</v>
      </c>
    </row>
    <row r="207" spans="5:13">
      <c r="E207" s="6">
        <v>197</v>
      </c>
      <c r="F207" s="10"/>
      <c r="G207" s="11"/>
      <c r="H207" s="23"/>
      <c r="I207" s="23"/>
      <c r="J207" s="23"/>
      <c r="K207" s="23"/>
      <c r="L207" s="23"/>
      <c r="M207" s="25">
        <f t="shared" si="3"/>
        <v>0</v>
      </c>
    </row>
    <row r="208" spans="5:13">
      <c r="E208" s="9">
        <v>198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199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200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235</v>
      </c>
      <c r="F211" s="34" t="s">
        <v>7</v>
      </c>
      <c r="G211" s="34"/>
      <c r="H211" s="13">
        <f>SUM(H11:H210)</f>
        <v>0</v>
      </c>
      <c r="I211" s="13">
        <f>SUM(I11:I210)</f>
        <v>0</v>
      </c>
      <c r="J211" s="13">
        <f>SUM(J11:J210)</f>
        <v>0</v>
      </c>
      <c r="K211" s="13">
        <f>SUM(K11:K210)</f>
        <v>0</v>
      </c>
      <c r="L211" s="13">
        <f>SUM(L11:L210)</f>
        <v>0</v>
      </c>
      <c r="M211" s="25">
        <f t="shared" si="3"/>
        <v>0</v>
      </c>
    </row>
    <row r="212" spans="5:13">
      <c r="E212" s="9">
        <v>236</v>
      </c>
      <c r="F212" s="35" t="s">
        <v>8</v>
      </c>
      <c r="G212" s="35"/>
      <c r="H212" s="14">
        <v>77.5</v>
      </c>
      <c r="I212" s="14">
        <v>85</v>
      </c>
      <c r="J212" s="14">
        <v>80.5</v>
      </c>
      <c r="K212" s="14">
        <v>78</v>
      </c>
      <c r="L212" s="14"/>
      <c r="M212" s="25">
        <f t="shared" si="3"/>
        <v>321</v>
      </c>
    </row>
    <row r="213" spans="5:13" ht="15.75" thickBot="1"/>
    <row r="214" spans="5:13" ht="16.5" thickBot="1">
      <c r="F214" s="36" t="s">
        <v>9</v>
      </c>
      <c r="G214" s="36"/>
      <c r="H214" s="12">
        <v>80.25</v>
      </c>
    </row>
  </sheetData>
  <mergeCells count="11">
    <mergeCell ref="F214:G214"/>
    <mergeCell ref="E2:M3"/>
    <mergeCell ref="E4:K5"/>
    <mergeCell ref="L4:M4"/>
    <mergeCell ref="E6:G6"/>
    <mergeCell ref="I6:M7"/>
    <mergeCell ref="E7:G9"/>
    <mergeCell ref="H8:L8"/>
    <mergeCell ref="M9:M10"/>
    <mergeCell ref="F211:G211"/>
    <mergeCell ref="F212:G212"/>
  </mergeCells>
  <dataValidations count="1">
    <dataValidation type="list" allowBlank="1" showInputMessage="1" showErrorMessage="1" sqref="H11:L210">
      <formula1>"0,1"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14"/>
  <sheetViews>
    <sheetView workbookViewId="0">
      <selection activeCell="H11" sqref="H11:K210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2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2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202</v>
      </c>
      <c r="I10" s="22">
        <v>202</v>
      </c>
      <c r="J10" s="21">
        <v>202</v>
      </c>
      <c r="K10" s="22">
        <v>202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 t="shared" ref="M11:M42" si="0"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 t="shared" si="0"/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 t="shared" si="0"/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 t="shared" si="0"/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si="0"/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ref="M43:M74" si="1">(H43+I43+J43+K43+L43)</f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1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1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1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1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1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1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1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1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1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1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1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1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1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1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1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1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1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1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1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1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1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1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1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1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1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1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1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1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1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1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1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ref="M75:M106" si="2">(H75+I75+J75+K75+L75)</f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2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2"/>
        <v>0</v>
      </c>
    </row>
    <row r="78" spans="5:13">
      <c r="E78" s="9">
        <v>69</v>
      </c>
      <c r="F78" s="10"/>
      <c r="G78" s="11"/>
      <c r="H78" s="23"/>
      <c r="I78" s="23"/>
      <c r="J78" s="23"/>
      <c r="K78" s="23"/>
      <c r="L78" s="23"/>
      <c r="M78" s="25">
        <f t="shared" si="2"/>
        <v>0</v>
      </c>
    </row>
    <row r="79" spans="5:13">
      <c r="E79" s="9">
        <v>70</v>
      </c>
      <c r="F79" s="10"/>
      <c r="G79" s="11"/>
      <c r="H79" s="23"/>
      <c r="I79" s="23"/>
      <c r="J79" s="23"/>
      <c r="K79" s="23"/>
      <c r="L79" s="23"/>
      <c r="M79" s="25">
        <f t="shared" si="2"/>
        <v>0</v>
      </c>
    </row>
    <row r="80" spans="5:13">
      <c r="E80" s="9">
        <v>71</v>
      </c>
      <c r="F80" s="10"/>
      <c r="G80" s="11"/>
      <c r="H80" s="23"/>
      <c r="I80" s="23"/>
      <c r="J80" s="23"/>
      <c r="K80" s="23"/>
      <c r="L80" s="23"/>
      <c r="M80" s="25">
        <f t="shared" si="2"/>
        <v>0</v>
      </c>
    </row>
    <row r="81" spans="5:13">
      <c r="E81" s="9">
        <v>72</v>
      </c>
      <c r="F81" s="10"/>
      <c r="G81" s="11"/>
      <c r="H81" s="23"/>
      <c r="I81" s="23"/>
      <c r="J81" s="23"/>
      <c r="K81" s="23"/>
      <c r="L81" s="23"/>
      <c r="M81" s="25">
        <f t="shared" si="2"/>
        <v>0</v>
      </c>
    </row>
    <row r="82" spans="5:13">
      <c r="E82" s="9">
        <v>73</v>
      </c>
      <c r="F82" s="10"/>
      <c r="G82" s="11"/>
      <c r="H82" s="23"/>
      <c r="I82" s="23"/>
      <c r="J82" s="23"/>
      <c r="K82" s="23"/>
      <c r="L82" s="23"/>
      <c r="M82" s="25">
        <f t="shared" si="2"/>
        <v>0</v>
      </c>
    </row>
    <row r="83" spans="5:13">
      <c r="E83" s="9">
        <v>74</v>
      </c>
      <c r="F83" s="10"/>
      <c r="G83" s="11"/>
      <c r="H83" s="23"/>
      <c r="I83" s="23"/>
      <c r="J83" s="23"/>
      <c r="K83" s="23"/>
      <c r="L83" s="23"/>
      <c r="M83" s="25">
        <f t="shared" si="2"/>
        <v>0</v>
      </c>
    </row>
    <row r="84" spans="5:13">
      <c r="E84" s="9">
        <v>75</v>
      </c>
      <c r="F84" s="10"/>
      <c r="G84" s="11"/>
      <c r="H84" s="23"/>
      <c r="I84" s="23"/>
      <c r="J84" s="23"/>
      <c r="K84" s="23"/>
      <c r="L84" s="23"/>
      <c r="M84" s="25">
        <f t="shared" si="2"/>
        <v>0</v>
      </c>
    </row>
    <row r="85" spans="5:13">
      <c r="E85" s="9">
        <v>76</v>
      </c>
      <c r="F85" s="10"/>
      <c r="G85" s="11"/>
      <c r="H85" s="23"/>
      <c r="I85" s="23"/>
      <c r="J85" s="23"/>
      <c r="K85" s="23"/>
      <c r="L85" s="23"/>
      <c r="M85" s="25">
        <f t="shared" si="2"/>
        <v>0</v>
      </c>
    </row>
    <row r="86" spans="5:13">
      <c r="E86" s="9">
        <v>77</v>
      </c>
      <c r="F86" s="10"/>
      <c r="G86" s="11"/>
      <c r="H86" s="23"/>
      <c r="I86" s="23"/>
      <c r="J86" s="23"/>
      <c r="K86" s="23"/>
      <c r="L86" s="23"/>
      <c r="M86" s="25">
        <f t="shared" si="2"/>
        <v>0</v>
      </c>
    </row>
    <row r="87" spans="5:13">
      <c r="E87" s="9">
        <v>78</v>
      </c>
      <c r="F87" s="10"/>
      <c r="G87" s="11"/>
      <c r="H87" s="23"/>
      <c r="I87" s="23"/>
      <c r="J87" s="23"/>
      <c r="K87" s="23"/>
      <c r="L87" s="23"/>
      <c r="M87" s="25">
        <f t="shared" si="2"/>
        <v>0</v>
      </c>
    </row>
    <row r="88" spans="5:13">
      <c r="E88" s="9">
        <v>79</v>
      </c>
      <c r="F88" s="10"/>
      <c r="G88" s="11"/>
      <c r="H88" s="23"/>
      <c r="I88" s="23"/>
      <c r="J88" s="23"/>
      <c r="K88" s="23"/>
      <c r="L88" s="23"/>
      <c r="M88" s="25">
        <f t="shared" si="2"/>
        <v>0</v>
      </c>
    </row>
    <row r="89" spans="5:13">
      <c r="E89" s="9">
        <v>80</v>
      </c>
      <c r="F89" s="10"/>
      <c r="G89" s="11"/>
      <c r="H89" s="23"/>
      <c r="I89" s="23"/>
      <c r="J89" s="23"/>
      <c r="K89" s="23"/>
      <c r="L89" s="23"/>
      <c r="M89" s="25">
        <f t="shared" si="2"/>
        <v>0</v>
      </c>
    </row>
    <row r="90" spans="5:13">
      <c r="E90" s="9">
        <v>81</v>
      </c>
      <c r="F90" s="10"/>
      <c r="G90" s="11"/>
      <c r="H90" s="23"/>
      <c r="I90" s="23"/>
      <c r="J90" s="23"/>
      <c r="K90" s="23"/>
      <c r="L90" s="23"/>
      <c r="M90" s="25">
        <f t="shared" si="2"/>
        <v>0</v>
      </c>
    </row>
    <row r="91" spans="5:13">
      <c r="E91" s="9">
        <v>82</v>
      </c>
      <c r="F91" s="10"/>
      <c r="G91" s="11"/>
      <c r="H91" s="23"/>
      <c r="I91" s="23"/>
      <c r="J91" s="23"/>
      <c r="K91" s="23"/>
      <c r="L91" s="23"/>
      <c r="M91" s="25">
        <f t="shared" si="2"/>
        <v>0</v>
      </c>
    </row>
    <row r="92" spans="5:13">
      <c r="E92" s="9">
        <v>83</v>
      </c>
      <c r="F92" s="10"/>
      <c r="G92" s="11"/>
      <c r="H92" s="23"/>
      <c r="I92" s="23"/>
      <c r="J92" s="23"/>
      <c r="K92" s="23"/>
      <c r="L92" s="23"/>
      <c r="M92" s="25">
        <f t="shared" si="2"/>
        <v>0</v>
      </c>
    </row>
    <row r="93" spans="5:13">
      <c r="E93" s="9">
        <v>84</v>
      </c>
      <c r="F93" s="10"/>
      <c r="G93" s="11"/>
      <c r="H93" s="23"/>
      <c r="I93" s="23"/>
      <c r="J93" s="23"/>
      <c r="K93" s="23"/>
      <c r="L93" s="23"/>
      <c r="M93" s="25">
        <f t="shared" si="2"/>
        <v>0</v>
      </c>
    </row>
    <row r="94" spans="5:13">
      <c r="E94" s="9">
        <v>85</v>
      </c>
      <c r="F94" s="10"/>
      <c r="G94" s="11"/>
      <c r="H94" s="23"/>
      <c r="I94" s="23"/>
      <c r="J94" s="23"/>
      <c r="K94" s="23"/>
      <c r="L94" s="23"/>
      <c r="M94" s="25">
        <f t="shared" si="2"/>
        <v>0</v>
      </c>
    </row>
    <row r="95" spans="5:13">
      <c r="E95" s="9">
        <v>86</v>
      </c>
      <c r="F95" s="10"/>
      <c r="G95" s="11"/>
      <c r="H95" s="23"/>
      <c r="I95" s="23"/>
      <c r="J95" s="23"/>
      <c r="K95" s="23"/>
      <c r="L95" s="23"/>
      <c r="M95" s="25">
        <f t="shared" si="2"/>
        <v>0</v>
      </c>
    </row>
    <row r="96" spans="5:13">
      <c r="E96" s="9">
        <v>87</v>
      </c>
      <c r="F96" s="10"/>
      <c r="G96" s="11"/>
      <c r="H96" s="23"/>
      <c r="I96" s="23"/>
      <c r="J96" s="23"/>
      <c r="K96" s="23"/>
      <c r="L96" s="23"/>
      <c r="M96" s="25">
        <f t="shared" si="2"/>
        <v>0</v>
      </c>
    </row>
    <row r="97" spans="5:13">
      <c r="E97" s="9">
        <v>88</v>
      </c>
      <c r="F97" s="10"/>
      <c r="G97" s="11"/>
      <c r="H97" s="23"/>
      <c r="I97" s="23"/>
      <c r="J97" s="23"/>
      <c r="K97" s="23"/>
      <c r="L97" s="23"/>
      <c r="M97" s="25">
        <f t="shared" si="2"/>
        <v>0</v>
      </c>
    </row>
    <row r="98" spans="5:13">
      <c r="E98" s="9">
        <v>89</v>
      </c>
      <c r="F98" s="10"/>
      <c r="G98" s="11"/>
      <c r="H98" s="23"/>
      <c r="I98" s="23"/>
      <c r="J98" s="23"/>
      <c r="K98" s="23"/>
      <c r="L98" s="23"/>
      <c r="M98" s="25">
        <f t="shared" si="2"/>
        <v>0</v>
      </c>
    </row>
    <row r="99" spans="5:13">
      <c r="E99" s="9">
        <v>90</v>
      </c>
      <c r="F99" s="10"/>
      <c r="G99" s="11"/>
      <c r="H99" s="23"/>
      <c r="I99" s="23"/>
      <c r="J99" s="23"/>
      <c r="K99" s="23"/>
      <c r="L99" s="23"/>
      <c r="M99" s="25">
        <f t="shared" si="2"/>
        <v>0</v>
      </c>
    </row>
    <row r="100" spans="5:13">
      <c r="E100" s="9">
        <v>91</v>
      </c>
      <c r="F100" s="10"/>
      <c r="G100" s="11"/>
      <c r="H100" s="23"/>
      <c r="I100" s="23"/>
      <c r="J100" s="23"/>
      <c r="K100" s="23"/>
      <c r="L100" s="23"/>
      <c r="M100" s="25">
        <f t="shared" si="2"/>
        <v>0</v>
      </c>
    </row>
    <row r="101" spans="5:13">
      <c r="E101" s="9">
        <v>92</v>
      </c>
      <c r="F101" s="10"/>
      <c r="G101" s="11"/>
      <c r="H101" s="23"/>
      <c r="I101" s="23"/>
      <c r="J101" s="23"/>
      <c r="K101" s="23"/>
      <c r="L101" s="23"/>
      <c r="M101" s="25">
        <f t="shared" si="2"/>
        <v>0</v>
      </c>
    </row>
    <row r="102" spans="5:13">
      <c r="E102" s="9">
        <v>93</v>
      </c>
      <c r="F102" s="10"/>
      <c r="G102" s="11"/>
      <c r="H102" s="23"/>
      <c r="I102" s="23"/>
      <c r="J102" s="23"/>
      <c r="K102" s="23"/>
      <c r="L102" s="23"/>
      <c r="M102" s="25">
        <f t="shared" si="2"/>
        <v>0</v>
      </c>
    </row>
    <row r="103" spans="5:13">
      <c r="E103" s="9">
        <v>94</v>
      </c>
      <c r="F103" s="10"/>
      <c r="G103" s="11"/>
      <c r="H103" s="23"/>
      <c r="I103" s="23"/>
      <c r="J103" s="23"/>
      <c r="K103" s="23"/>
      <c r="L103" s="23"/>
      <c r="M103" s="25">
        <f t="shared" si="2"/>
        <v>0</v>
      </c>
    </row>
    <row r="104" spans="5:13">
      <c r="E104" s="9">
        <v>95</v>
      </c>
      <c r="F104" s="10"/>
      <c r="G104" s="11"/>
      <c r="H104" s="23"/>
      <c r="I104" s="23"/>
      <c r="J104" s="23"/>
      <c r="K104" s="23"/>
      <c r="L104" s="23"/>
      <c r="M104" s="25">
        <f t="shared" si="2"/>
        <v>0</v>
      </c>
    </row>
    <row r="105" spans="5:13">
      <c r="E105" s="9">
        <v>97</v>
      </c>
      <c r="F105" s="10"/>
      <c r="G105" s="11"/>
      <c r="H105" s="23"/>
      <c r="I105" s="23"/>
      <c r="J105" s="23"/>
      <c r="K105" s="23"/>
      <c r="L105" s="23"/>
      <c r="M105" s="25">
        <f t="shared" si="2"/>
        <v>0</v>
      </c>
    </row>
    <row r="106" spans="5:13">
      <c r="E106" s="9">
        <v>98</v>
      </c>
      <c r="F106" s="10"/>
      <c r="G106" s="11"/>
      <c r="H106" s="23"/>
      <c r="I106" s="23"/>
      <c r="J106" s="23"/>
      <c r="K106" s="23"/>
      <c r="L106" s="23"/>
      <c r="M106" s="25">
        <f t="shared" si="2"/>
        <v>0</v>
      </c>
    </row>
    <row r="107" spans="5:13">
      <c r="E107" s="9">
        <v>99</v>
      </c>
      <c r="F107" s="10"/>
      <c r="G107" s="11"/>
      <c r="H107" s="23"/>
      <c r="I107" s="23"/>
      <c r="J107" s="23"/>
      <c r="K107" s="23"/>
      <c r="L107" s="23"/>
      <c r="M107" s="25">
        <f t="shared" ref="M107:M138" si="3">(H107+I107+J107+K107+L107)</f>
        <v>0</v>
      </c>
    </row>
    <row r="108" spans="5:13">
      <c r="E108" s="9">
        <v>100</v>
      </c>
      <c r="F108" s="10"/>
      <c r="G108" s="11"/>
      <c r="H108" s="23"/>
      <c r="I108" s="23"/>
      <c r="J108" s="23"/>
      <c r="K108" s="23"/>
      <c r="L108" s="23"/>
      <c r="M108" s="25">
        <f t="shared" si="3"/>
        <v>0</v>
      </c>
    </row>
    <row r="109" spans="5:13">
      <c r="E109" s="9">
        <v>101</v>
      </c>
      <c r="F109" s="10"/>
      <c r="G109" s="11"/>
      <c r="H109" s="23"/>
      <c r="I109" s="23"/>
      <c r="J109" s="23"/>
      <c r="K109" s="23"/>
      <c r="L109" s="23"/>
      <c r="M109" s="25">
        <f t="shared" si="3"/>
        <v>0</v>
      </c>
    </row>
    <row r="110" spans="5:13">
      <c r="E110" s="9">
        <v>102</v>
      </c>
      <c r="F110" s="10"/>
      <c r="G110" s="11"/>
      <c r="H110" s="23"/>
      <c r="I110" s="23"/>
      <c r="J110" s="23"/>
      <c r="K110" s="23"/>
      <c r="L110" s="23"/>
      <c r="M110" s="25">
        <f t="shared" si="3"/>
        <v>0</v>
      </c>
    </row>
    <row r="111" spans="5:13">
      <c r="E111" s="9">
        <v>103</v>
      </c>
      <c r="F111" s="10"/>
      <c r="G111" s="11"/>
      <c r="H111" s="23"/>
      <c r="I111" s="23"/>
      <c r="J111" s="23"/>
      <c r="K111" s="23"/>
      <c r="L111" s="23"/>
      <c r="M111" s="25">
        <f t="shared" si="3"/>
        <v>0</v>
      </c>
    </row>
    <row r="112" spans="5:13">
      <c r="E112" s="9">
        <v>104</v>
      </c>
      <c r="F112" s="10"/>
      <c r="G112" s="11"/>
      <c r="H112" s="23"/>
      <c r="I112" s="23"/>
      <c r="J112" s="23"/>
      <c r="K112" s="23"/>
      <c r="L112" s="23"/>
      <c r="M112" s="25">
        <f t="shared" si="3"/>
        <v>0</v>
      </c>
    </row>
    <row r="113" spans="5:13">
      <c r="E113" s="9">
        <v>105</v>
      </c>
      <c r="F113" s="10"/>
      <c r="G113" s="11"/>
      <c r="H113" s="23"/>
      <c r="I113" s="23"/>
      <c r="J113" s="23"/>
      <c r="K113" s="23"/>
      <c r="L113" s="23"/>
      <c r="M113" s="25">
        <f t="shared" si="3"/>
        <v>0</v>
      </c>
    </row>
    <row r="114" spans="5:13">
      <c r="E114" s="9">
        <v>106</v>
      </c>
      <c r="F114" s="10"/>
      <c r="G114" s="11"/>
      <c r="H114" s="23"/>
      <c r="I114" s="23"/>
      <c r="J114" s="23"/>
      <c r="K114" s="23"/>
      <c r="L114" s="23"/>
      <c r="M114" s="25">
        <f t="shared" si="3"/>
        <v>0</v>
      </c>
    </row>
    <row r="115" spans="5:13">
      <c r="E115" s="9">
        <v>107</v>
      </c>
      <c r="F115" s="10"/>
      <c r="G115" s="11"/>
      <c r="H115" s="23"/>
      <c r="I115" s="23"/>
      <c r="J115" s="23"/>
      <c r="K115" s="23"/>
      <c r="L115" s="23"/>
      <c r="M115" s="25">
        <f t="shared" si="3"/>
        <v>0</v>
      </c>
    </row>
    <row r="116" spans="5:13">
      <c r="E116" s="9">
        <v>108</v>
      </c>
      <c r="F116" s="10"/>
      <c r="G116" s="11"/>
      <c r="H116" s="23"/>
      <c r="I116" s="23"/>
      <c r="J116" s="23"/>
      <c r="K116" s="23"/>
      <c r="L116" s="23"/>
      <c r="M116" s="25">
        <f t="shared" si="3"/>
        <v>0</v>
      </c>
    </row>
    <row r="117" spans="5:13">
      <c r="E117" s="9">
        <v>109</v>
      </c>
      <c r="F117" s="10"/>
      <c r="G117" s="11"/>
      <c r="H117" s="23"/>
      <c r="I117" s="23"/>
      <c r="J117" s="23"/>
      <c r="K117" s="23"/>
      <c r="L117" s="23"/>
      <c r="M117" s="25">
        <f t="shared" si="3"/>
        <v>0</v>
      </c>
    </row>
    <row r="118" spans="5:13">
      <c r="E118" s="9">
        <v>110</v>
      </c>
      <c r="F118" s="10"/>
      <c r="G118" s="11"/>
      <c r="H118" s="23"/>
      <c r="I118" s="23"/>
      <c r="J118" s="23"/>
      <c r="K118" s="23"/>
      <c r="L118" s="23"/>
      <c r="M118" s="25">
        <f t="shared" si="3"/>
        <v>0</v>
      </c>
    </row>
    <row r="119" spans="5:13">
      <c r="E119" s="9">
        <v>111</v>
      </c>
      <c r="F119" s="10"/>
      <c r="G119" s="11"/>
      <c r="H119" s="23"/>
      <c r="I119" s="23"/>
      <c r="J119" s="23"/>
      <c r="K119" s="23"/>
      <c r="L119" s="23"/>
      <c r="M119" s="25">
        <f t="shared" si="3"/>
        <v>0</v>
      </c>
    </row>
    <row r="120" spans="5:13">
      <c r="E120" s="9">
        <v>112</v>
      </c>
      <c r="F120" s="10"/>
      <c r="G120" s="11"/>
      <c r="H120" s="23"/>
      <c r="I120" s="23"/>
      <c r="J120" s="23"/>
      <c r="K120" s="23"/>
      <c r="L120" s="23"/>
      <c r="M120" s="25">
        <f t="shared" si="3"/>
        <v>0</v>
      </c>
    </row>
    <row r="121" spans="5:13">
      <c r="E121" s="9">
        <v>113</v>
      </c>
      <c r="F121" s="10"/>
      <c r="G121" s="11"/>
      <c r="H121" s="23"/>
      <c r="I121" s="23"/>
      <c r="J121" s="23"/>
      <c r="K121" s="23"/>
      <c r="L121" s="23"/>
      <c r="M121" s="25">
        <f t="shared" si="3"/>
        <v>0</v>
      </c>
    </row>
    <row r="122" spans="5:13">
      <c r="E122" s="9">
        <v>114</v>
      </c>
      <c r="F122" s="10"/>
      <c r="G122" s="11"/>
      <c r="H122" s="23"/>
      <c r="I122" s="23"/>
      <c r="J122" s="23"/>
      <c r="K122" s="23"/>
      <c r="L122" s="23"/>
      <c r="M122" s="25">
        <f t="shared" si="3"/>
        <v>0</v>
      </c>
    </row>
    <row r="123" spans="5:13">
      <c r="E123" s="9">
        <v>115</v>
      </c>
      <c r="F123" s="10"/>
      <c r="G123" s="11"/>
      <c r="H123" s="23"/>
      <c r="I123" s="23"/>
      <c r="J123" s="23"/>
      <c r="K123" s="23"/>
      <c r="L123" s="23"/>
      <c r="M123" s="25">
        <f t="shared" si="3"/>
        <v>0</v>
      </c>
    </row>
    <row r="124" spans="5:13">
      <c r="E124" s="9">
        <v>116</v>
      </c>
      <c r="F124" s="10"/>
      <c r="G124" s="11"/>
      <c r="H124" s="23"/>
      <c r="I124" s="23"/>
      <c r="J124" s="23"/>
      <c r="K124" s="23"/>
      <c r="L124" s="23"/>
      <c r="M124" s="25">
        <f t="shared" si="3"/>
        <v>0</v>
      </c>
    </row>
    <row r="125" spans="5:13">
      <c r="E125" s="9">
        <v>117</v>
      </c>
      <c r="F125" s="10"/>
      <c r="G125" s="11"/>
      <c r="H125" s="23"/>
      <c r="I125" s="23"/>
      <c r="J125" s="23"/>
      <c r="K125" s="23"/>
      <c r="L125" s="23"/>
      <c r="M125" s="25">
        <f t="shared" si="3"/>
        <v>0</v>
      </c>
    </row>
    <row r="126" spans="5:13">
      <c r="E126" s="9">
        <v>118</v>
      </c>
      <c r="F126" s="10"/>
      <c r="G126" s="11"/>
      <c r="H126" s="23"/>
      <c r="I126" s="23"/>
      <c r="J126" s="23"/>
      <c r="K126" s="23"/>
      <c r="L126" s="23"/>
      <c r="M126" s="25">
        <f t="shared" si="3"/>
        <v>0</v>
      </c>
    </row>
    <row r="127" spans="5:13">
      <c r="E127" s="9">
        <v>119</v>
      </c>
      <c r="F127" s="10"/>
      <c r="G127" s="11"/>
      <c r="H127" s="23"/>
      <c r="I127" s="23"/>
      <c r="J127" s="23"/>
      <c r="K127" s="23"/>
      <c r="L127" s="23"/>
      <c r="M127" s="25">
        <f t="shared" si="3"/>
        <v>0</v>
      </c>
    </row>
    <row r="128" spans="5:13">
      <c r="E128" s="9">
        <v>120</v>
      </c>
      <c r="F128" s="10"/>
      <c r="G128" s="11"/>
      <c r="H128" s="23"/>
      <c r="I128" s="23"/>
      <c r="J128" s="23"/>
      <c r="K128" s="23"/>
      <c r="L128" s="23"/>
      <c r="M128" s="25">
        <f t="shared" si="3"/>
        <v>0</v>
      </c>
    </row>
    <row r="129" spans="5:13">
      <c r="E129" s="9">
        <v>121</v>
      </c>
      <c r="F129" s="10"/>
      <c r="G129" s="11"/>
      <c r="H129" s="23"/>
      <c r="I129" s="23"/>
      <c r="J129" s="23"/>
      <c r="K129" s="23"/>
      <c r="L129" s="23"/>
      <c r="M129" s="25">
        <f t="shared" si="3"/>
        <v>0</v>
      </c>
    </row>
    <row r="130" spans="5:13">
      <c r="E130" s="9">
        <v>122</v>
      </c>
      <c r="F130" s="10"/>
      <c r="G130" s="11"/>
      <c r="H130" s="23"/>
      <c r="I130" s="23"/>
      <c r="J130" s="23"/>
      <c r="K130" s="23"/>
      <c r="L130" s="23"/>
      <c r="M130" s="25">
        <f t="shared" si="3"/>
        <v>0</v>
      </c>
    </row>
    <row r="131" spans="5:13">
      <c r="E131" s="9">
        <v>123</v>
      </c>
      <c r="F131" s="10"/>
      <c r="G131" s="11"/>
      <c r="H131" s="23"/>
      <c r="I131" s="23"/>
      <c r="J131" s="23"/>
      <c r="K131" s="23"/>
      <c r="L131" s="23"/>
      <c r="M131" s="25">
        <f t="shared" si="3"/>
        <v>0</v>
      </c>
    </row>
    <row r="132" spans="5:13">
      <c r="E132" s="9">
        <v>124</v>
      </c>
      <c r="F132" s="10"/>
      <c r="G132" s="11"/>
      <c r="H132" s="23"/>
      <c r="I132" s="23"/>
      <c r="J132" s="23"/>
      <c r="K132" s="23"/>
      <c r="L132" s="23"/>
      <c r="M132" s="25">
        <f t="shared" si="3"/>
        <v>0</v>
      </c>
    </row>
    <row r="133" spans="5:13">
      <c r="E133" s="9">
        <v>125</v>
      </c>
      <c r="F133" s="10"/>
      <c r="G133" s="11"/>
      <c r="H133" s="23"/>
      <c r="I133" s="23"/>
      <c r="J133" s="23"/>
      <c r="K133" s="23"/>
      <c r="L133" s="23"/>
      <c r="M133" s="25">
        <f t="shared" si="3"/>
        <v>0</v>
      </c>
    </row>
    <row r="134" spans="5:13">
      <c r="E134" s="9">
        <v>126</v>
      </c>
      <c r="F134" s="10"/>
      <c r="G134" s="11"/>
      <c r="H134" s="23"/>
      <c r="I134" s="23"/>
      <c r="J134" s="23"/>
      <c r="K134" s="23"/>
      <c r="L134" s="23"/>
      <c r="M134" s="25">
        <f t="shared" si="3"/>
        <v>0</v>
      </c>
    </row>
    <row r="135" spans="5:13">
      <c r="E135" s="9">
        <v>127</v>
      </c>
      <c r="F135" s="10"/>
      <c r="G135" s="11"/>
      <c r="H135" s="23"/>
      <c r="I135" s="23"/>
      <c r="J135" s="23"/>
      <c r="K135" s="23"/>
      <c r="L135" s="23"/>
      <c r="M135" s="25">
        <f t="shared" si="3"/>
        <v>0</v>
      </c>
    </row>
    <row r="136" spans="5:13">
      <c r="E136" s="9">
        <v>128</v>
      </c>
      <c r="F136" s="10"/>
      <c r="G136" s="11"/>
      <c r="H136" s="23"/>
      <c r="I136" s="23"/>
      <c r="J136" s="23"/>
      <c r="K136" s="23"/>
      <c r="L136" s="23"/>
      <c r="M136" s="25">
        <f t="shared" si="3"/>
        <v>0</v>
      </c>
    </row>
    <row r="137" spans="5:13">
      <c r="E137" s="9">
        <v>129</v>
      </c>
      <c r="F137" s="10"/>
      <c r="G137" s="11"/>
      <c r="H137" s="23"/>
      <c r="I137" s="23"/>
      <c r="J137" s="23"/>
      <c r="K137" s="23"/>
      <c r="L137" s="23"/>
      <c r="M137" s="25">
        <f t="shared" si="3"/>
        <v>0</v>
      </c>
    </row>
    <row r="138" spans="5:13">
      <c r="E138" s="9">
        <v>130</v>
      </c>
      <c r="F138" s="10"/>
      <c r="G138" s="11"/>
      <c r="H138" s="23"/>
      <c r="I138" s="23"/>
      <c r="J138" s="23"/>
      <c r="K138" s="23"/>
      <c r="L138" s="23"/>
      <c r="M138" s="25">
        <f t="shared" si="3"/>
        <v>0</v>
      </c>
    </row>
    <row r="139" spans="5:13">
      <c r="E139" s="9">
        <v>131</v>
      </c>
      <c r="F139" s="10"/>
      <c r="G139" s="11"/>
      <c r="H139" s="23"/>
      <c r="I139" s="23"/>
      <c r="J139" s="23"/>
      <c r="K139" s="23"/>
      <c r="L139" s="23"/>
      <c r="M139" s="25">
        <f t="shared" ref="M139:M170" si="4">(H139+I139+J139+K139+L139)</f>
        <v>0</v>
      </c>
    </row>
    <row r="140" spans="5:13">
      <c r="E140" s="9">
        <v>132</v>
      </c>
      <c r="F140" s="10"/>
      <c r="G140" s="11"/>
      <c r="H140" s="23"/>
      <c r="I140" s="23"/>
      <c r="J140" s="23"/>
      <c r="K140" s="23"/>
      <c r="L140" s="23"/>
      <c r="M140" s="25">
        <f t="shared" si="4"/>
        <v>0</v>
      </c>
    </row>
    <row r="141" spans="5:13">
      <c r="E141" s="9">
        <v>133</v>
      </c>
      <c r="F141" s="10"/>
      <c r="G141" s="11"/>
      <c r="H141" s="23"/>
      <c r="I141" s="23"/>
      <c r="J141" s="23"/>
      <c r="K141" s="23"/>
      <c r="L141" s="23"/>
      <c r="M141" s="25">
        <f t="shared" si="4"/>
        <v>0</v>
      </c>
    </row>
    <row r="142" spans="5:13">
      <c r="E142" s="9">
        <v>134</v>
      </c>
      <c r="F142" s="10"/>
      <c r="G142" s="11"/>
      <c r="H142" s="23"/>
      <c r="I142" s="23"/>
      <c r="J142" s="23"/>
      <c r="K142" s="23"/>
      <c r="L142" s="23"/>
      <c r="M142" s="25">
        <f t="shared" si="4"/>
        <v>0</v>
      </c>
    </row>
    <row r="143" spans="5:13">
      <c r="E143" s="9">
        <v>135</v>
      </c>
      <c r="F143" s="10"/>
      <c r="G143" s="11"/>
      <c r="H143" s="23"/>
      <c r="I143" s="23"/>
      <c r="J143" s="23"/>
      <c r="K143" s="23"/>
      <c r="L143" s="23"/>
      <c r="M143" s="25">
        <f t="shared" si="4"/>
        <v>0</v>
      </c>
    </row>
    <row r="144" spans="5:13">
      <c r="E144" s="9">
        <v>136</v>
      </c>
      <c r="F144" s="10"/>
      <c r="G144" s="11"/>
      <c r="H144" s="23"/>
      <c r="I144" s="23"/>
      <c r="J144" s="23"/>
      <c r="K144" s="23"/>
      <c r="L144" s="23"/>
      <c r="M144" s="25">
        <f t="shared" si="4"/>
        <v>0</v>
      </c>
    </row>
    <row r="145" spans="5:13">
      <c r="E145" s="9">
        <v>137</v>
      </c>
      <c r="F145" s="10"/>
      <c r="G145" s="11"/>
      <c r="H145" s="23"/>
      <c r="I145" s="23"/>
      <c r="J145" s="23"/>
      <c r="K145" s="23"/>
      <c r="L145" s="23"/>
      <c r="M145" s="25">
        <f t="shared" si="4"/>
        <v>0</v>
      </c>
    </row>
    <row r="146" spans="5:13">
      <c r="E146" s="9">
        <v>138</v>
      </c>
      <c r="F146" s="10"/>
      <c r="G146" s="11"/>
      <c r="H146" s="23"/>
      <c r="I146" s="23"/>
      <c r="J146" s="23"/>
      <c r="K146" s="23"/>
      <c r="L146" s="23"/>
      <c r="M146" s="25">
        <f t="shared" si="4"/>
        <v>0</v>
      </c>
    </row>
    <row r="147" spans="5:13">
      <c r="E147" s="9">
        <v>139</v>
      </c>
      <c r="F147" s="10"/>
      <c r="G147" s="11"/>
      <c r="H147" s="23"/>
      <c r="I147" s="23"/>
      <c r="J147" s="23"/>
      <c r="K147" s="23"/>
      <c r="L147" s="23"/>
      <c r="M147" s="25">
        <f t="shared" si="4"/>
        <v>0</v>
      </c>
    </row>
    <row r="148" spans="5:13">
      <c r="E148" s="9">
        <v>140</v>
      </c>
      <c r="F148" s="10"/>
      <c r="G148" s="11"/>
      <c r="H148" s="23"/>
      <c r="I148" s="23"/>
      <c r="J148" s="23"/>
      <c r="K148" s="23"/>
      <c r="L148" s="23"/>
      <c r="M148" s="25">
        <f t="shared" si="4"/>
        <v>0</v>
      </c>
    </row>
    <row r="149" spans="5:13">
      <c r="E149" s="9">
        <v>141</v>
      </c>
      <c r="F149" s="10"/>
      <c r="G149" s="11"/>
      <c r="H149" s="23"/>
      <c r="I149" s="23"/>
      <c r="J149" s="23"/>
      <c r="K149" s="23"/>
      <c r="L149" s="23"/>
      <c r="M149" s="25">
        <f t="shared" si="4"/>
        <v>0</v>
      </c>
    </row>
    <row r="150" spans="5:13">
      <c r="E150" s="9">
        <v>142</v>
      </c>
      <c r="F150" s="10"/>
      <c r="G150" s="11"/>
      <c r="H150" s="23"/>
      <c r="I150" s="23"/>
      <c r="J150" s="23"/>
      <c r="K150" s="23"/>
      <c r="L150" s="23"/>
      <c r="M150" s="25">
        <f t="shared" si="4"/>
        <v>0</v>
      </c>
    </row>
    <row r="151" spans="5:13">
      <c r="E151" s="9">
        <v>143</v>
      </c>
      <c r="F151" s="10"/>
      <c r="G151" s="11"/>
      <c r="H151" s="23"/>
      <c r="I151" s="23"/>
      <c r="J151" s="23"/>
      <c r="K151" s="23"/>
      <c r="L151" s="23"/>
      <c r="M151" s="25">
        <f t="shared" si="4"/>
        <v>0</v>
      </c>
    </row>
    <row r="152" spans="5:13">
      <c r="E152" s="9">
        <v>144</v>
      </c>
      <c r="F152" s="10"/>
      <c r="G152" s="11"/>
      <c r="H152" s="23"/>
      <c r="I152" s="23"/>
      <c r="J152" s="23"/>
      <c r="K152" s="23"/>
      <c r="L152" s="23"/>
      <c r="M152" s="25">
        <f t="shared" si="4"/>
        <v>0</v>
      </c>
    </row>
    <row r="153" spans="5:13">
      <c r="E153" s="9">
        <v>145</v>
      </c>
      <c r="F153" s="10"/>
      <c r="G153" s="11"/>
      <c r="H153" s="23"/>
      <c r="I153" s="23"/>
      <c r="J153" s="23"/>
      <c r="K153" s="23"/>
      <c r="L153" s="23"/>
      <c r="M153" s="25">
        <f t="shared" si="4"/>
        <v>0</v>
      </c>
    </row>
    <row r="154" spans="5:13">
      <c r="E154" s="9">
        <v>146</v>
      </c>
      <c r="F154" s="10"/>
      <c r="G154" s="11"/>
      <c r="H154" s="23"/>
      <c r="I154" s="23"/>
      <c r="J154" s="23"/>
      <c r="K154" s="23"/>
      <c r="L154" s="23"/>
      <c r="M154" s="25">
        <f t="shared" si="4"/>
        <v>0</v>
      </c>
    </row>
    <row r="155" spans="5:13">
      <c r="E155" s="9">
        <v>147</v>
      </c>
      <c r="F155" s="10"/>
      <c r="G155" s="11"/>
      <c r="H155" s="23"/>
      <c r="I155" s="23"/>
      <c r="J155" s="23"/>
      <c r="K155" s="23"/>
      <c r="L155" s="23"/>
      <c r="M155" s="25">
        <f t="shared" si="4"/>
        <v>0</v>
      </c>
    </row>
    <row r="156" spans="5:13">
      <c r="E156" s="9">
        <v>148</v>
      </c>
      <c r="F156" s="10"/>
      <c r="G156" s="11"/>
      <c r="H156" s="23"/>
      <c r="I156" s="23"/>
      <c r="J156" s="23"/>
      <c r="K156" s="23"/>
      <c r="L156" s="23"/>
      <c r="M156" s="25">
        <f t="shared" si="4"/>
        <v>0</v>
      </c>
    </row>
    <row r="157" spans="5:13">
      <c r="E157" s="9">
        <v>149</v>
      </c>
      <c r="F157" s="10"/>
      <c r="G157" s="11"/>
      <c r="H157" s="23"/>
      <c r="I157" s="23"/>
      <c r="J157" s="23"/>
      <c r="K157" s="23"/>
      <c r="L157" s="23"/>
      <c r="M157" s="25">
        <f t="shared" si="4"/>
        <v>0</v>
      </c>
    </row>
    <row r="158" spans="5:13">
      <c r="E158" s="9">
        <v>150</v>
      </c>
      <c r="F158" s="10"/>
      <c r="G158" s="11"/>
      <c r="H158" s="23"/>
      <c r="I158" s="23"/>
      <c r="J158" s="23"/>
      <c r="K158" s="23"/>
      <c r="L158" s="23"/>
      <c r="M158" s="25">
        <f t="shared" si="4"/>
        <v>0</v>
      </c>
    </row>
    <row r="159" spans="5:13">
      <c r="E159" s="9">
        <v>151</v>
      </c>
      <c r="F159" s="10"/>
      <c r="G159" s="11"/>
      <c r="H159" s="23"/>
      <c r="I159" s="23"/>
      <c r="J159" s="23"/>
      <c r="K159" s="23"/>
      <c r="L159" s="23"/>
      <c r="M159" s="25">
        <f t="shared" si="4"/>
        <v>0</v>
      </c>
    </row>
    <row r="160" spans="5:13">
      <c r="E160" s="9">
        <v>152</v>
      </c>
      <c r="F160" s="10"/>
      <c r="G160" s="11"/>
      <c r="H160" s="23"/>
      <c r="I160" s="23"/>
      <c r="J160" s="23"/>
      <c r="K160" s="23"/>
      <c r="L160" s="23"/>
      <c r="M160" s="25">
        <f t="shared" si="4"/>
        <v>0</v>
      </c>
    </row>
    <row r="161" spans="5:13">
      <c r="E161" s="9">
        <v>153</v>
      </c>
      <c r="F161" s="10"/>
      <c r="G161" s="11"/>
      <c r="H161" s="23"/>
      <c r="I161" s="23"/>
      <c r="J161" s="23"/>
      <c r="K161" s="23"/>
      <c r="L161" s="23"/>
      <c r="M161" s="25">
        <f t="shared" si="4"/>
        <v>0</v>
      </c>
    </row>
    <row r="162" spans="5:13">
      <c r="E162" s="9">
        <v>154</v>
      </c>
      <c r="F162" s="10"/>
      <c r="G162" s="11"/>
      <c r="H162" s="23"/>
      <c r="I162" s="23"/>
      <c r="J162" s="23"/>
      <c r="K162" s="23"/>
      <c r="L162" s="23"/>
      <c r="M162" s="25">
        <f t="shared" si="4"/>
        <v>0</v>
      </c>
    </row>
    <row r="163" spans="5:13">
      <c r="E163" s="9">
        <v>155</v>
      </c>
      <c r="F163" s="10"/>
      <c r="G163" s="11"/>
      <c r="H163" s="23"/>
      <c r="I163" s="23"/>
      <c r="J163" s="23"/>
      <c r="K163" s="23"/>
      <c r="L163" s="23"/>
      <c r="M163" s="25">
        <f t="shared" si="4"/>
        <v>0</v>
      </c>
    </row>
    <row r="164" spans="5:13">
      <c r="E164" s="9">
        <v>156</v>
      </c>
      <c r="F164" s="10"/>
      <c r="G164" s="11"/>
      <c r="H164" s="23"/>
      <c r="I164" s="23"/>
      <c r="J164" s="23"/>
      <c r="K164" s="23"/>
      <c r="L164" s="23"/>
      <c r="M164" s="25">
        <f t="shared" si="4"/>
        <v>0</v>
      </c>
    </row>
    <row r="165" spans="5:13">
      <c r="E165" s="9">
        <v>157</v>
      </c>
      <c r="F165" s="10"/>
      <c r="G165" s="11"/>
      <c r="H165" s="23"/>
      <c r="I165" s="23"/>
      <c r="J165" s="23"/>
      <c r="K165" s="23"/>
      <c r="L165" s="23"/>
      <c r="M165" s="25">
        <f t="shared" si="4"/>
        <v>0</v>
      </c>
    </row>
    <row r="166" spans="5:13">
      <c r="E166" s="9">
        <v>158</v>
      </c>
      <c r="F166" s="10"/>
      <c r="G166" s="11"/>
      <c r="H166" s="23"/>
      <c r="I166" s="23"/>
      <c r="J166" s="23"/>
      <c r="K166" s="23"/>
      <c r="L166" s="23"/>
      <c r="M166" s="25">
        <f t="shared" si="4"/>
        <v>0</v>
      </c>
    </row>
    <row r="167" spans="5:13">
      <c r="E167" s="9">
        <v>159</v>
      </c>
      <c r="F167" s="10"/>
      <c r="G167" s="11"/>
      <c r="H167" s="23"/>
      <c r="I167" s="23"/>
      <c r="J167" s="23"/>
      <c r="K167" s="23"/>
      <c r="L167" s="23"/>
      <c r="M167" s="25">
        <f t="shared" si="4"/>
        <v>0</v>
      </c>
    </row>
    <row r="168" spans="5:13">
      <c r="E168" s="9">
        <v>160</v>
      </c>
      <c r="F168" s="10"/>
      <c r="G168" s="11"/>
      <c r="H168" s="23"/>
      <c r="I168" s="23"/>
      <c r="J168" s="23"/>
      <c r="K168" s="23"/>
      <c r="L168" s="23"/>
      <c r="M168" s="25">
        <f t="shared" si="4"/>
        <v>0</v>
      </c>
    </row>
    <row r="169" spans="5:13">
      <c r="E169" s="9">
        <v>161</v>
      </c>
      <c r="F169" s="10"/>
      <c r="G169" s="11"/>
      <c r="H169" s="23"/>
      <c r="I169" s="23"/>
      <c r="J169" s="23"/>
      <c r="K169" s="23"/>
      <c r="L169" s="23"/>
      <c r="M169" s="25">
        <f t="shared" si="4"/>
        <v>0</v>
      </c>
    </row>
    <row r="170" spans="5:13">
      <c r="E170" s="9">
        <v>162</v>
      </c>
      <c r="F170" s="10"/>
      <c r="G170" s="11"/>
      <c r="H170" s="23"/>
      <c r="I170" s="23"/>
      <c r="J170" s="23"/>
      <c r="K170" s="23"/>
      <c r="L170" s="23"/>
      <c r="M170" s="25">
        <f t="shared" si="4"/>
        <v>0</v>
      </c>
    </row>
    <row r="171" spans="5:13">
      <c r="E171" s="9">
        <v>163</v>
      </c>
      <c r="F171" s="10"/>
      <c r="G171" s="11"/>
      <c r="H171" s="23"/>
      <c r="I171" s="23"/>
      <c r="J171" s="23"/>
      <c r="K171" s="23"/>
      <c r="L171" s="23"/>
      <c r="M171" s="25">
        <f t="shared" ref="M171:M202" si="5">(H171+I171+J171+K171+L171)</f>
        <v>0</v>
      </c>
    </row>
    <row r="172" spans="5:13">
      <c r="E172" s="9">
        <v>164</v>
      </c>
      <c r="F172" s="10"/>
      <c r="G172" s="11"/>
      <c r="H172" s="23"/>
      <c r="I172" s="23"/>
      <c r="J172" s="23"/>
      <c r="K172" s="23"/>
      <c r="L172" s="23"/>
      <c r="M172" s="25">
        <f t="shared" si="5"/>
        <v>0</v>
      </c>
    </row>
    <row r="173" spans="5:13">
      <c r="E173" s="9">
        <v>165</v>
      </c>
      <c r="F173" s="10"/>
      <c r="G173" s="11"/>
      <c r="H173" s="23"/>
      <c r="I173" s="23"/>
      <c r="J173" s="23"/>
      <c r="K173" s="23"/>
      <c r="L173" s="23"/>
      <c r="M173" s="25">
        <f t="shared" si="5"/>
        <v>0</v>
      </c>
    </row>
    <row r="174" spans="5:13">
      <c r="E174" s="9">
        <v>166</v>
      </c>
      <c r="F174" s="10"/>
      <c r="G174" s="11"/>
      <c r="H174" s="23"/>
      <c r="I174" s="23"/>
      <c r="J174" s="23"/>
      <c r="K174" s="23"/>
      <c r="L174" s="23"/>
      <c r="M174" s="25">
        <f t="shared" si="5"/>
        <v>0</v>
      </c>
    </row>
    <row r="175" spans="5:13">
      <c r="E175" s="9">
        <v>167</v>
      </c>
      <c r="F175" s="10"/>
      <c r="G175" s="11"/>
      <c r="H175" s="23"/>
      <c r="I175" s="23"/>
      <c r="J175" s="23"/>
      <c r="K175" s="23"/>
      <c r="L175" s="23"/>
      <c r="M175" s="25">
        <f t="shared" si="5"/>
        <v>0</v>
      </c>
    </row>
    <row r="176" spans="5:13">
      <c r="E176" s="9">
        <v>168</v>
      </c>
      <c r="F176" s="10"/>
      <c r="G176" s="11"/>
      <c r="H176" s="23"/>
      <c r="I176" s="23"/>
      <c r="J176" s="23"/>
      <c r="K176" s="23"/>
      <c r="L176" s="23"/>
      <c r="M176" s="25">
        <f t="shared" si="5"/>
        <v>0</v>
      </c>
    </row>
    <row r="177" spans="5:13">
      <c r="E177" s="9">
        <v>169</v>
      </c>
      <c r="F177" s="10"/>
      <c r="G177" s="11"/>
      <c r="H177" s="23"/>
      <c r="I177" s="23"/>
      <c r="J177" s="23"/>
      <c r="K177" s="23"/>
      <c r="L177" s="23"/>
      <c r="M177" s="25">
        <f t="shared" si="5"/>
        <v>0</v>
      </c>
    </row>
    <row r="178" spans="5:13">
      <c r="E178" s="9">
        <v>170</v>
      </c>
      <c r="F178" s="10"/>
      <c r="G178" s="11"/>
      <c r="H178" s="23"/>
      <c r="I178" s="23"/>
      <c r="J178" s="23"/>
      <c r="K178" s="23"/>
      <c r="L178" s="23"/>
      <c r="M178" s="25">
        <f t="shared" si="5"/>
        <v>0</v>
      </c>
    </row>
    <row r="179" spans="5:13">
      <c r="E179" s="9">
        <v>171</v>
      </c>
      <c r="F179" s="10"/>
      <c r="G179" s="11"/>
      <c r="H179" s="23"/>
      <c r="I179" s="23"/>
      <c r="J179" s="23"/>
      <c r="K179" s="23"/>
      <c r="L179" s="23"/>
      <c r="M179" s="25">
        <f t="shared" si="5"/>
        <v>0</v>
      </c>
    </row>
    <row r="180" spans="5:13">
      <c r="E180" s="9">
        <v>172</v>
      </c>
      <c r="F180" s="10"/>
      <c r="G180" s="11"/>
      <c r="H180" s="23"/>
      <c r="I180" s="23"/>
      <c r="J180" s="23"/>
      <c r="K180" s="23"/>
      <c r="L180" s="23"/>
      <c r="M180" s="25">
        <f t="shared" si="5"/>
        <v>0</v>
      </c>
    </row>
    <row r="181" spans="5:13">
      <c r="E181" s="9">
        <v>173</v>
      </c>
      <c r="F181" s="10"/>
      <c r="G181" s="11"/>
      <c r="H181" s="23"/>
      <c r="I181" s="23"/>
      <c r="J181" s="23"/>
      <c r="K181" s="23"/>
      <c r="L181" s="23"/>
      <c r="M181" s="25">
        <f t="shared" si="5"/>
        <v>0</v>
      </c>
    </row>
    <row r="182" spans="5:13">
      <c r="E182" s="9">
        <v>174</v>
      </c>
      <c r="F182" s="10"/>
      <c r="G182" s="11"/>
      <c r="H182" s="23"/>
      <c r="I182" s="23"/>
      <c r="J182" s="23"/>
      <c r="K182" s="23"/>
      <c r="L182" s="23"/>
      <c r="M182" s="25">
        <f t="shared" si="5"/>
        <v>0</v>
      </c>
    </row>
    <row r="183" spans="5:13">
      <c r="E183" s="9">
        <v>175</v>
      </c>
      <c r="F183" s="10"/>
      <c r="G183" s="11"/>
      <c r="H183" s="23"/>
      <c r="I183" s="23"/>
      <c r="J183" s="23"/>
      <c r="K183" s="23"/>
      <c r="L183" s="23"/>
      <c r="M183" s="25">
        <f t="shared" si="5"/>
        <v>0</v>
      </c>
    </row>
    <row r="184" spans="5:13">
      <c r="E184" s="9">
        <v>176</v>
      </c>
      <c r="F184" s="10"/>
      <c r="G184" s="11"/>
      <c r="H184" s="23"/>
      <c r="I184" s="23"/>
      <c r="J184" s="23"/>
      <c r="K184" s="23"/>
      <c r="L184" s="23"/>
      <c r="M184" s="25">
        <f t="shared" si="5"/>
        <v>0</v>
      </c>
    </row>
    <row r="185" spans="5:13">
      <c r="E185" s="9">
        <v>177</v>
      </c>
      <c r="F185" s="10"/>
      <c r="G185" s="11"/>
      <c r="H185" s="23"/>
      <c r="I185" s="23"/>
      <c r="J185" s="23"/>
      <c r="K185" s="23"/>
      <c r="L185" s="23"/>
      <c r="M185" s="25">
        <f t="shared" si="5"/>
        <v>0</v>
      </c>
    </row>
    <row r="186" spans="5:13">
      <c r="E186" s="9">
        <v>178</v>
      </c>
      <c r="F186" s="10"/>
      <c r="G186" s="11"/>
      <c r="H186" s="23"/>
      <c r="I186" s="23"/>
      <c r="J186" s="23"/>
      <c r="K186" s="23"/>
      <c r="L186" s="23"/>
      <c r="M186" s="25">
        <f t="shared" si="5"/>
        <v>0</v>
      </c>
    </row>
    <row r="187" spans="5:13">
      <c r="E187" s="9">
        <v>179</v>
      </c>
      <c r="F187" s="10"/>
      <c r="G187" s="11"/>
      <c r="H187" s="23"/>
      <c r="I187" s="23"/>
      <c r="J187" s="23"/>
      <c r="K187" s="23"/>
      <c r="L187" s="23"/>
      <c r="M187" s="25">
        <f t="shared" si="5"/>
        <v>0</v>
      </c>
    </row>
    <row r="188" spans="5:13">
      <c r="E188" s="9">
        <v>180</v>
      </c>
      <c r="F188" s="10"/>
      <c r="G188" s="11"/>
      <c r="H188" s="23"/>
      <c r="I188" s="23"/>
      <c r="J188" s="23"/>
      <c r="K188" s="23"/>
      <c r="L188" s="23"/>
      <c r="M188" s="25">
        <f t="shared" si="5"/>
        <v>0</v>
      </c>
    </row>
    <row r="189" spans="5:13">
      <c r="E189" s="9">
        <v>181</v>
      </c>
      <c r="F189" s="10"/>
      <c r="G189" s="11"/>
      <c r="H189" s="23"/>
      <c r="I189" s="23"/>
      <c r="J189" s="23"/>
      <c r="K189" s="23"/>
      <c r="L189" s="23"/>
      <c r="M189" s="25">
        <f t="shared" si="5"/>
        <v>0</v>
      </c>
    </row>
    <row r="190" spans="5:13">
      <c r="E190" s="9">
        <v>182</v>
      </c>
      <c r="F190" s="10"/>
      <c r="G190" s="11"/>
      <c r="H190" s="23"/>
      <c r="I190" s="23"/>
      <c r="J190" s="23"/>
      <c r="K190" s="23"/>
      <c r="L190" s="23"/>
      <c r="M190" s="25">
        <f t="shared" si="5"/>
        <v>0</v>
      </c>
    </row>
    <row r="191" spans="5:13">
      <c r="E191" s="9">
        <v>183</v>
      </c>
      <c r="F191" s="10"/>
      <c r="G191" s="11"/>
      <c r="H191" s="23"/>
      <c r="I191" s="23"/>
      <c r="J191" s="23"/>
      <c r="K191" s="23"/>
      <c r="L191" s="23"/>
      <c r="M191" s="25">
        <f t="shared" si="5"/>
        <v>0</v>
      </c>
    </row>
    <row r="192" spans="5:13">
      <c r="E192" s="9">
        <v>184</v>
      </c>
      <c r="F192" s="10"/>
      <c r="G192" s="11"/>
      <c r="H192" s="23"/>
      <c r="I192" s="23"/>
      <c r="J192" s="23"/>
      <c r="K192" s="23"/>
      <c r="L192" s="23"/>
      <c r="M192" s="25">
        <f t="shared" si="5"/>
        <v>0</v>
      </c>
    </row>
    <row r="193" spans="5:13">
      <c r="E193" s="9">
        <v>185</v>
      </c>
      <c r="F193" s="10"/>
      <c r="G193" s="11"/>
      <c r="H193" s="23"/>
      <c r="I193" s="23"/>
      <c r="J193" s="23"/>
      <c r="K193" s="23"/>
      <c r="L193" s="23"/>
      <c r="M193" s="25">
        <f t="shared" si="5"/>
        <v>0</v>
      </c>
    </row>
    <row r="194" spans="5:13">
      <c r="E194" s="9">
        <v>186</v>
      </c>
      <c r="F194" s="10"/>
      <c r="G194" s="11"/>
      <c r="H194" s="23"/>
      <c r="I194" s="23"/>
      <c r="J194" s="23"/>
      <c r="K194" s="23"/>
      <c r="L194" s="23"/>
      <c r="M194" s="25">
        <f t="shared" si="5"/>
        <v>0</v>
      </c>
    </row>
    <row r="195" spans="5:13">
      <c r="E195" s="9">
        <v>187</v>
      </c>
      <c r="F195" s="10"/>
      <c r="G195" s="11"/>
      <c r="H195" s="23"/>
      <c r="I195" s="23"/>
      <c r="J195" s="23"/>
      <c r="K195" s="23"/>
      <c r="L195" s="23"/>
      <c r="M195" s="25">
        <f t="shared" si="5"/>
        <v>0</v>
      </c>
    </row>
    <row r="196" spans="5:13">
      <c r="E196" s="9">
        <v>188</v>
      </c>
      <c r="F196" s="10"/>
      <c r="G196" s="11"/>
      <c r="H196" s="23"/>
      <c r="I196" s="23"/>
      <c r="J196" s="23"/>
      <c r="K196" s="23"/>
      <c r="L196" s="23"/>
      <c r="M196" s="25">
        <f t="shared" si="5"/>
        <v>0</v>
      </c>
    </row>
    <row r="197" spans="5:13">
      <c r="E197" s="9">
        <v>189</v>
      </c>
      <c r="F197" s="10"/>
      <c r="G197" s="11"/>
      <c r="H197" s="23"/>
      <c r="I197" s="23"/>
      <c r="J197" s="23"/>
      <c r="K197" s="23"/>
      <c r="L197" s="23"/>
      <c r="M197" s="25">
        <f t="shared" si="5"/>
        <v>0</v>
      </c>
    </row>
    <row r="198" spans="5:13">
      <c r="E198" s="9">
        <v>190</v>
      </c>
      <c r="F198" s="10"/>
      <c r="G198" s="11"/>
      <c r="H198" s="23"/>
      <c r="I198" s="23"/>
      <c r="J198" s="23"/>
      <c r="K198" s="23"/>
      <c r="L198" s="23"/>
      <c r="M198" s="25">
        <f t="shared" si="5"/>
        <v>0</v>
      </c>
    </row>
    <row r="199" spans="5:13">
      <c r="E199" s="9">
        <v>191</v>
      </c>
      <c r="F199" s="10"/>
      <c r="G199" s="11"/>
      <c r="H199" s="23"/>
      <c r="I199" s="23"/>
      <c r="J199" s="23"/>
      <c r="K199" s="23"/>
      <c r="L199" s="23"/>
      <c r="M199" s="25">
        <f t="shared" si="5"/>
        <v>0</v>
      </c>
    </row>
    <row r="200" spans="5:13">
      <c r="E200" s="9">
        <v>192</v>
      </c>
      <c r="F200" s="10"/>
      <c r="G200" s="11"/>
      <c r="H200" s="23"/>
      <c r="I200" s="23"/>
      <c r="J200" s="23"/>
      <c r="K200" s="23"/>
      <c r="L200" s="23"/>
      <c r="M200" s="25">
        <f t="shared" si="5"/>
        <v>0</v>
      </c>
    </row>
    <row r="201" spans="5:13">
      <c r="E201" s="9">
        <v>193</v>
      </c>
      <c r="F201" s="10"/>
      <c r="G201" s="11"/>
      <c r="H201" s="23"/>
      <c r="I201" s="23"/>
      <c r="J201" s="23"/>
      <c r="K201" s="23"/>
      <c r="L201" s="23"/>
      <c r="M201" s="25">
        <f t="shared" si="5"/>
        <v>0</v>
      </c>
    </row>
    <row r="202" spans="5:13">
      <c r="E202" s="9">
        <v>194</v>
      </c>
      <c r="F202" s="10"/>
      <c r="G202" s="11"/>
      <c r="H202" s="23"/>
      <c r="I202" s="23"/>
      <c r="J202" s="23"/>
      <c r="K202" s="23"/>
      <c r="L202" s="23"/>
      <c r="M202" s="25">
        <f t="shared" si="5"/>
        <v>0</v>
      </c>
    </row>
    <row r="203" spans="5:13">
      <c r="E203" s="9">
        <v>195</v>
      </c>
      <c r="F203" s="10"/>
      <c r="G203" s="11"/>
      <c r="H203" s="23"/>
      <c r="I203" s="23"/>
      <c r="J203" s="23"/>
      <c r="K203" s="23"/>
      <c r="L203" s="23"/>
      <c r="M203" s="25">
        <f t="shared" ref="M203:M234" si="6">(H203+I203+J203+K203+L203)</f>
        <v>0</v>
      </c>
    </row>
    <row r="204" spans="5:13">
      <c r="E204" s="9">
        <v>196</v>
      </c>
      <c r="F204" s="10"/>
      <c r="G204" s="11"/>
      <c r="H204" s="23"/>
      <c r="I204" s="23"/>
      <c r="J204" s="23"/>
      <c r="K204" s="23"/>
      <c r="L204" s="23"/>
      <c r="M204" s="25">
        <f t="shared" si="6"/>
        <v>0</v>
      </c>
    </row>
    <row r="205" spans="5:13">
      <c r="E205" s="9">
        <v>197</v>
      </c>
      <c r="F205" s="10"/>
      <c r="G205" s="11"/>
      <c r="H205" s="23"/>
      <c r="I205" s="23"/>
      <c r="J205" s="23"/>
      <c r="K205" s="23"/>
      <c r="L205" s="23"/>
      <c r="M205" s="25">
        <f t="shared" si="6"/>
        <v>0</v>
      </c>
    </row>
    <row r="206" spans="5:13">
      <c r="E206" s="9">
        <v>198</v>
      </c>
      <c r="F206" s="10"/>
      <c r="G206" s="11"/>
      <c r="H206" s="23"/>
      <c r="I206" s="23"/>
      <c r="J206" s="23"/>
      <c r="K206" s="23"/>
      <c r="L206" s="23"/>
      <c r="M206" s="25">
        <f t="shared" si="6"/>
        <v>0</v>
      </c>
    </row>
    <row r="207" spans="5:13">
      <c r="E207" s="9">
        <v>199</v>
      </c>
      <c r="F207" s="10"/>
      <c r="G207" s="11"/>
      <c r="H207" s="23"/>
      <c r="I207" s="23"/>
      <c r="J207" s="23"/>
      <c r="K207" s="23"/>
      <c r="L207" s="23"/>
      <c r="M207" s="25">
        <f t="shared" si="6"/>
        <v>0</v>
      </c>
    </row>
    <row r="208" spans="5:13">
      <c r="E208" s="9">
        <v>200</v>
      </c>
      <c r="F208" s="10"/>
      <c r="G208" s="11"/>
      <c r="H208" s="23"/>
      <c r="I208" s="23"/>
      <c r="J208" s="23"/>
      <c r="K208" s="23"/>
      <c r="L208" s="23"/>
      <c r="M208" s="25">
        <f t="shared" si="6"/>
        <v>0</v>
      </c>
    </row>
    <row r="209" spans="5:13">
      <c r="E209" s="9">
        <v>201</v>
      </c>
      <c r="F209" s="10"/>
      <c r="G209" s="11"/>
      <c r="H209" s="23"/>
      <c r="I209" s="23"/>
      <c r="J209" s="23"/>
      <c r="K209" s="23"/>
      <c r="L209" s="23"/>
      <c r="M209" s="25">
        <f t="shared" si="6"/>
        <v>0</v>
      </c>
    </row>
    <row r="210" spans="5:13">
      <c r="E210" s="9">
        <v>202</v>
      </c>
      <c r="F210" s="10"/>
      <c r="G210" s="11"/>
      <c r="H210" s="23"/>
      <c r="I210" s="23"/>
      <c r="J210" s="23"/>
      <c r="K210" s="23"/>
      <c r="L210" s="23"/>
      <c r="M210" s="25">
        <f t="shared" si="6"/>
        <v>0</v>
      </c>
    </row>
    <row r="211" spans="5:13">
      <c r="E211" s="9"/>
      <c r="F211" s="34" t="s">
        <v>7</v>
      </c>
      <c r="G211" s="34"/>
      <c r="H211" s="13">
        <f>SUM(H11:H210)</f>
        <v>0</v>
      </c>
      <c r="I211" s="13">
        <f>SUM(I11:I210)</f>
        <v>0</v>
      </c>
      <c r="J211" s="13">
        <f>SUM(J11:J210)</f>
        <v>0</v>
      </c>
      <c r="K211" s="13">
        <f>SUM(K11:K210)</f>
        <v>0</v>
      </c>
      <c r="L211" s="13">
        <f>SUM(L11:L210)</f>
        <v>0</v>
      </c>
      <c r="M211" s="25" t="e">
        <f>(I211+#REF!+J211+K211+L211)</f>
        <v>#REF!</v>
      </c>
    </row>
    <row r="212" spans="5:13">
      <c r="E212" s="9"/>
      <c r="F212" s="35" t="s">
        <v>8</v>
      </c>
      <c r="G212" s="35"/>
      <c r="H212" s="14">
        <v>76.73</v>
      </c>
      <c r="I212" s="14"/>
      <c r="J212" s="14"/>
      <c r="K212" s="14">
        <v>83.16</v>
      </c>
      <c r="L212" s="14">
        <f t="shared" ref="L212" si="7">L211/221*100</f>
        <v>0</v>
      </c>
      <c r="M212" s="25">
        <f t="shared" ref="M212" si="8">(H212+I212+J212+K212+L212)</f>
        <v>159.88999999999999</v>
      </c>
    </row>
    <row r="213" spans="5:13" ht="15.75" thickBot="1"/>
    <row r="214" spans="5:13" ht="16.5" thickBot="1">
      <c r="F214" s="36" t="s">
        <v>9</v>
      </c>
      <c r="G214" s="36"/>
      <c r="H214" s="12">
        <v>79.95</v>
      </c>
    </row>
  </sheetData>
  <mergeCells count="11">
    <mergeCell ref="F214:G214"/>
    <mergeCell ref="E2:M3"/>
    <mergeCell ref="E4:K5"/>
    <mergeCell ref="L4:M4"/>
    <mergeCell ref="E6:G6"/>
    <mergeCell ref="I6:M7"/>
    <mergeCell ref="E7:G9"/>
    <mergeCell ref="H8:L8"/>
    <mergeCell ref="M9:M10"/>
    <mergeCell ref="F211:G211"/>
    <mergeCell ref="F212:G212"/>
  </mergeCells>
  <dataValidations count="1">
    <dataValidation type="list" allowBlank="1" showInputMessage="1" showErrorMessage="1" sqref="H11:L210">
      <formula1>"0,1"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27"/>
  <sheetViews>
    <sheetView topLeftCell="A207" workbookViewId="0">
      <selection activeCell="F223" sqref="F11:G223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4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2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>
        <v>215</v>
      </c>
      <c r="I10" s="22">
        <v>215</v>
      </c>
      <c r="J10" s="21">
        <v>215</v>
      </c>
      <c r="K10" s="22">
        <v>215</v>
      </c>
      <c r="L10" s="21"/>
      <c r="M10" s="58"/>
    </row>
    <row r="11" spans="5:13">
      <c r="E11" s="6">
        <v>1</v>
      </c>
      <c r="F11" s="10"/>
      <c r="G11" s="11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ref="M15:M78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69</v>
      </c>
      <c r="F78" s="10"/>
      <c r="G78" s="11"/>
      <c r="H78" s="23"/>
      <c r="I78" s="23"/>
      <c r="J78" s="23"/>
      <c r="K78" s="23"/>
      <c r="L78" s="23"/>
      <c r="M78" s="25">
        <f t="shared" si="0"/>
        <v>0</v>
      </c>
    </row>
    <row r="79" spans="5:13">
      <c r="E79" s="9">
        <v>70</v>
      </c>
      <c r="F79" s="10"/>
      <c r="G79" s="11"/>
      <c r="H79" s="23"/>
      <c r="I79" s="23"/>
      <c r="J79" s="23"/>
      <c r="K79" s="23"/>
      <c r="L79" s="23"/>
      <c r="M79" s="25">
        <f t="shared" ref="M79:M142" si="1">(H79+I79+J79+K79+L79)</f>
        <v>0</v>
      </c>
    </row>
    <row r="80" spans="5:13">
      <c r="E80" s="9">
        <v>71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72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73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74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75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76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77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78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79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80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81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82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83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84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85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86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87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88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89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90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91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92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93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94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95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97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98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99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100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101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102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103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104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105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106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107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108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109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110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111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112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113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114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115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116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117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118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119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120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121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122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123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124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125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126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127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128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129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130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9">
        <v>131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132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133</v>
      </c>
      <c r="F141" s="10"/>
      <c r="G141" s="11"/>
      <c r="H141" s="23"/>
      <c r="I141" s="23"/>
      <c r="J141" s="23"/>
      <c r="K141" s="23"/>
      <c r="L141" s="23"/>
      <c r="M141" s="25">
        <f t="shared" si="1"/>
        <v>0</v>
      </c>
    </row>
    <row r="142" spans="5:13">
      <c r="E142" s="9">
        <v>134</v>
      </c>
      <c r="F142" s="10"/>
      <c r="G142" s="11"/>
      <c r="H142" s="23"/>
      <c r="I142" s="23"/>
      <c r="J142" s="23"/>
      <c r="K142" s="23"/>
      <c r="L142" s="23"/>
      <c r="M142" s="25">
        <f t="shared" si="1"/>
        <v>0</v>
      </c>
    </row>
    <row r="143" spans="5:13">
      <c r="E143" s="9">
        <v>135</v>
      </c>
      <c r="F143" s="10"/>
      <c r="G143" s="11"/>
      <c r="H143" s="23"/>
      <c r="I143" s="23"/>
      <c r="J143" s="23"/>
      <c r="K143" s="23"/>
      <c r="L143" s="23"/>
      <c r="M143" s="25">
        <f t="shared" ref="M143:M206" si="2">(H143+I143+J143+K143+L143)</f>
        <v>0</v>
      </c>
    </row>
    <row r="144" spans="5:13">
      <c r="E144" s="9">
        <v>136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137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138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139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140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141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142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143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144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145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146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147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148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149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150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151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152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153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154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155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156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157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158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159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160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161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162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163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164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165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166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167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168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169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170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171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172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173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174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175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176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177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178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179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180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181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182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183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184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185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186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187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188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189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190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191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192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193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194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9">
        <v>195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196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197</v>
      </c>
      <c r="F205" s="10"/>
      <c r="G205" s="11"/>
      <c r="H205" s="23"/>
      <c r="I205" s="23"/>
      <c r="J205" s="23"/>
      <c r="K205" s="23"/>
      <c r="L205" s="23"/>
      <c r="M205" s="25">
        <f t="shared" si="2"/>
        <v>0</v>
      </c>
    </row>
    <row r="206" spans="5:13">
      <c r="E206" s="9">
        <v>198</v>
      </c>
      <c r="F206" s="10"/>
      <c r="G206" s="11"/>
      <c r="H206" s="23"/>
      <c r="I206" s="23"/>
      <c r="J206" s="23"/>
      <c r="K206" s="23"/>
      <c r="L206" s="23"/>
      <c r="M206" s="25">
        <f t="shared" si="2"/>
        <v>0</v>
      </c>
    </row>
    <row r="207" spans="5:13">
      <c r="E207" s="9">
        <v>199</v>
      </c>
      <c r="F207" s="10"/>
      <c r="G207" s="11"/>
      <c r="H207" s="23"/>
      <c r="I207" s="23"/>
      <c r="J207" s="23"/>
      <c r="K207" s="23"/>
      <c r="L207" s="23"/>
      <c r="M207" s="25">
        <f t="shared" ref="M207:M223" si="3">(H207+I207+J207+K207+L207)</f>
        <v>0</v>
      </c>
    </row>
    <row r="208" spans="5:13">
      <c r="E208" s="9">
        <v>200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201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202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203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204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205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206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207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208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209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9">
        <v>210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9">
        <v>211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212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213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E222" s="9">
        <v>214</v>
      </c>
      <c r="F222" s="10"/>
      <c r="G222" s="11"/>
      <c r="H222" s="23"/>
      <c r="I222" s="23"/>
      <c r="J222" s="23"/>
      <c r="K222" s="23"/>
      <c r="L222" s="23"/>
      <c r="M222" s="25">
        <f t="shared" si="3"/>
        <v>0</v>
      </c>
    </row>
    <row r="223" spans="5:13">
      <c r="E223" s="9">
        <v>215</v>
      </c>
      <c r="F223" s="10"/>
      <c r="G223" s="11"/>
      <c r="H223" s="23"/>
      <c r="I223" s="23"/>
      <c r="J223" s="23"/>
      <c r="K223" s="23"/>
      <c r="L223" s="23"/>
      <c r="M223" s="25">
        <f t="shared" si="3"/>
        <v>0</v>
      </c>
    </row>
    <row r="224" spans="5:13">
      <c r="F224" s="34" t="s">
        <v>7</v>
      </c>
      <c r="G224" s="34"/>
      <c r="H224" s="13">
        <f>SUM(H11:H223)</f>
        <v>0</v>
      </c>
      <c r="I224" s="13">
        <f>SUM(I11:I223)</f>
        <v>0</v>
      </c>
      <c r="J224" s="13">
        <f>SUM(J11:J223)</f>
        <v>0</v>
      </c>
      <c r="K224" s="13">
        <f>SUM(K11:K223)</f>
        <v>0</v>
      </c>
      <c r="L224" s="13">
        <f>SUM(L11:L223)</f>
        <v>0</v>
      </c>
    </row>
    <row r="225" spans="6:12">
      <c r="F225" s="35" t="s">
        <v>8</v>
      </c>
      <c r="G225" s="35"/>
      <c r="H225" s="14">
        <f>H224/215*100</f>
        <v>0</v>
      </c>
      <c r="I225" s="14">
        <f t="shared" ref="I225:K225" si="4">I224/215*100</f>
        <v>0</v>
      </c>
      <c r="J225" s="14">
        <f t="shared" si="4"/>
        <v>0</v>
      </c>
      <c r="K225" s="14">
        <f t="shared" si="4"/>
        <v>0</v>
      </c>
      <c r="L225" s="14"/>
    </row>
    <row r="226" spans="6:12" ht="15.75" thickBot="1"/>
    <row r="227" spans="6:12" ht="16.5" thickBot="1">
      <c r="F227" s="36" t="s">
        <v>9</v>
      </c>
      <c r="G227" s="36"/>
      <c r="H227" s="12">
        <f>(H225+I225+J225+K225+L225)/H6</f>
        <v>0</v>
      </c>
    </row>
  </sheetData>
  <mergeCells count="11">
    <mergeCell ref="F224:G224"/>
    <mergeCell ref="F225:G225"/>
    <mergeCell ref="F227:G227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23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61"/>
  <sheetViews>
    <sheetView workbookViewId="0">
      <selection activeCell="F11" sqref="F11:G243"/>
    </sheetView>
  </sheetViews>
  <sheetFormatPr defaultRowHeight="15"/>
  <cols>
    <col min="1" max="5" width="9.140625" style="1"/>
    <col min="6" max="6" width="13" style="1" customWidth="1"/>
    <col min="7" max="7" width="26" style="1" customWidth="1"/>
    <col min="8" max="8" width="10.140625" style="1" bestFit="1" customWidth="1"/>
    <col min="9" max="11" width="9.140625" style="1"/>
    <col min="12" max="12" width="11.7109375" style="1" customWidth="1"/>
    <col min="13" max="13" width="14.28515625" style="1" customWidth="1"/>
    <col min="14" max="14" width="13.5703125" style="1" customWidth="1"/>
    <col min="15" max="16384" width="9.140625" style="1"/>
  </cols>
  <sheetData>
    <row r="1" spans="5:13" ht="15.75" thickBot="1"/>
    <row r="2" spans="5:13">
      <c r="E2" s="37" t="s">
        <v>13</v>
      </c>
      <c r="F2" s="38"/>
      <c r="G2" s="38"/>
      <c r="H2" s="38"/>
      <c r="I2" s="38"/>
      <c r="J2" s="38"/>
      <c r="K2" s="38"/>
      <c r="L2" s="38"/>
      <c r="M2" s="39"/>
    </row>
    <row r="3" spans="5:13" ht="15.75" thickBot="1">
      <c r="E3" s="40"/>
      <c r="F3" s="41"/>
      <c r="G3" s="41"/>
      <c r="H3" s="41"/>
      <c r="I3" s="41"/>
      <c r="J3" s="41"/>
      <c r="K3" s="41"/>
      <c r="L3" s="41"/>
      <c r="M3" s="42"/>
    </row>
    <row r="4" spans="5:13">
      <c r="E4" s="43"/>
      <c r="F4" s="44"/>
      <c r="G4" s="44"/>
      <c r="H4" s="44"/>
      <c r="I4" s="44"/>
      <c r="J4" s="44"/>
      <c r="K4" s="44"/>
      <c r="L4" s="47"/>
      <c r="M4" s="48"/>
    </row>
    <row r="5" spans="5:13" ht="15.75" thickBot="1">
      <c r="E5" s="45"/>
      <c r="F5" s="46"/>
      <c r="G5" s="46"/>
      <c r="H5" s="46"/>
      <c r="I5" s="46"/>
      <c r="J5" s="46"/>
      <c r="K5" s="46"/>
      <c r="L5" s="18" t="s">
        <v>14</v>
      </c>
      <c r="M5" s="2" t="s">
        <v>407</v>
      </c>
    </row>
    <row r="6" spans="5:13" ht="29.25" thickBot="1">
      <c r="E6" s="49" t="s">
        <v>10</v>
      </c>
      <c r="F6" s="50"/>
      <c r="G6" s="51"/>
      <c r="H6" s="3">
        <v>5</v>
      </c>
      <c r="I6" s="46"/>
      <c r="J6" s="46"/>
      <c r="K6" s="46"/>
      <c r="L6" s="46"/>
      <c r="M6" s="52"/>
    </row>
    <row r="7" spans="5:13">
      <c r="E7" s="45"/>
      <c r="F7" s="46"/>
      <c r="G7" s="46"/>
      <c r="H7" s="4"/>
      <c r="I7" s="46"/>
      <c r="J7" s="46"/>
      <c r="K7" s="46"/>
      <c r="L7" s="46"/>
      <c r="M7" s="52"/>
    </row>
    <row r="8" spans="5:13" ht="49.5" customHeight="1">
      <c r="E8" s="45"/>
      <c r="F8" s="46"/>
      <c r="G8" s="46"/>
      <c r="H8" s="55" t="s">
        <v>0</v>
      </c>
      <c r="I8" s="56"/>
      <c r="J8" s="56"/>
      <c r="K8" s="56"/>
      <c r="L8" s="56"/>
      <c r="M8" s="32"/>
    </row>
    <row r="9" spans="5:13" ht="36.75" customHeight="1">
      <c r="E9" s="53"/>
      <c r="F9" s="54"/>
      <c r="G9" s="54"/>
      <c r="H9" s="15" t="s">
        <v>1</v>
      </c>
      <c r="I9" s="16" t="s">
        <v>2</v>
      </c>
      <c r="J9" s="15" t="s">
        <v>3</v>
      </c>
      <c r="K9" s="16" t="s">
        <v>4</v>
      </c>
      <c r="L9" s="17" t="s">
        <v>5</v>
      </c>
      <c r="M9" s="57" t="s">
        <v>12</v>
      </c>
    </row>
    <row r="10" spans="5:13" ht="30.75" thickBot="1">
      <c r="E10" s="5"/>
      <c r="F10" s="19" t="s">
        <v>6</v>
      </c>
      <c r="G10" s="20" t="s">
        <v>11</v>
      </c>
      <c r="H10" s="21"/>
      <c r="I10" s="22"/>
      <c r="J10" s="21"/>
      <c r="K10" s="22"/>
      <c r="L10" s="21"/>
      <c r="M10" s="58"/>
    </row>
    <row r="11" spans="5:13">
      <c r="E11" s="6">
        <v>1</v>
      </c>
      <c r="F11" s="7"/>
      <c r="G11" s="8"/>
      <c r="H11" s="23"/>
      <c r="I11" s="23"/>
      <c r="J11" s="23"/>
      <c r="K11" s="23"/>
      <c r="L11" s="23"/>
      <c r="M11" s="24">
        <f>(H11+I11+J11+K11+L11)</f>
        <v>0</v>
      </c>
    </row>
    <row r="12" spans="5:13">
      <c r="E12" s="9">
        <v>2</v>
      </c>
      <c r="F12" s="10"/>
      <c r="G12" s="11"/>
      <c r="H12" s="23"/>
      <c r="I12" s="23"/>
      <c r="J12" s="23"/>
      <c r="K12" s="23"/>
      <c r="L12" s="23"/>
      <c r="M12" s="25">
        <f>(H12+I12+J12+K12+L12)</f>
        <v>0</v>
      </c>
    </row>
    <row r="13" spans="5:13">
      <c r="E13" s="9">
        <v>3</v>
      </c>
      <c r="F13" s="10"/>
      <c r="G13" s="11"/>
      <c r="H13" s="23"/>
      <c r="I13" s="23"/>
      <c r="J13" s="23"/>
      <c r="K13" s="23"/>
      <c r="L13" s="23"/>
      <c r="M13" s="25">
        <f>(H13+I13+J13+K13+L13)</f>
        <v>0</v>
      </c>
    </row>
    <row r="14" spans="5:13">
      <c r="E14" s="9">
        <v>4</v>
      </c>
      <c r="F14" s="10"/>
      <c r="G14" s="11"/>
      <c r="H14" s="23"/>
      <c r="I14" s="23"/>
      <c r="J14" s="23"/>
      <c r="K14" s="23"/>
      <c r="L14" s="23"/>
      <c r="M14" s="25">
        <f>(H14+I14+J14+K14+L14)</f>
        <v>0</v>
      </c>
    </row>
    <row r="15" spans="5:13">
      <c r="E15" s="9">
        <v>5</v>
      </c>
      <c r="F15" s="10"/>
      <c r="G15" s="11"/>
      <c r="H15" s="23"/>
      <c r="I15" s="23"/>
      <c r="J15" s="23"/>
      <c r="K15" s="23"/>
      <c r="L15" s="23"/>
      <c r="M15" s="25">
        <f t="shared" ref="M15:M78" si="0">(H15+I15+J15+K15+L15)</f>
        <v>0</v>
      </c>
    </row>
    <row r="16" spans="5:13">
      <c r="E16" s="9">
        <v>6</v>
      </c>
      <c r="F16" s="10"/>
      <c r="G16" s="11"/>
      <c r="H16" s="23"/>
      <c r="I16" s="23"/>
      <c r="J16" s="23"/>
      <c r="K16" s="23"/>
      <c r="L16" s="23"/>
      <c r="M16" s="25">
        <f t="shared" si="0"/>
        <v>0</v>
      </c>
    </row>
    <row r="17" spans="5:13">
      <c r="E17" s="9">
        <v>7</v>
      </c>
      <c r="F17" s="10"/>
      <c r="G17" s="11"/>
      <c r="H17" s="23"/>
      <c r="I17" s="23"/>
      <c r="J17" s="23"/>
      <c r="K17" s="23"/>
      <c r="L17" s="23"/>
      <c r="M17" s="25">
        <f t="shared" si="0"/>
        <v>0</v>
      </c>
    </row>
    <row r="18" spans="5:13">
      <c r="E18" s="9">
        <v>8</v>
      </c>
      <c r="F18" s="10"/>
      <c r="G18" s="11"/>
      <c r="H18" s="23"/>
      <c r="I18" s="23"/>
      <c r="J18" s="23"/>
      <c r="K18" s="23"/>
      <c r="L18" s="23"/>
      <c r="M18" s="25">
        <f t="shared" si="0"/>
        <v>0</v>
      </c>
    </row>
    <row r="19" spans="5:13">
      <c r="E19" s="9">
        <v>9</v>
      </c>
      <c r="F19" s="10"/>
      <c r="G19" s="11"/>
      <c r="H19" s="23"/>
      <c r="I19" s="23"/>
      <c r="J19" s="23"/>
      <c r="K19" s="23"/>
      <c r="L19" s="23"/>
      <c r="M19" s="25">
        <f t="shared" si="0"/>
        <v>0</v>
      </c>
    </row>
    <row r="20" spans="5:13">
      <c r="E20" s="9">
        <v>10</v>
      </c>
      <c r="F20" s="10"/>
      <c r="G20" s="11"/>
      <c r="H20" s="23"/>
      <c r="I20" s="23"/>
      <c r="J20" s="23"/>
      <c r="K20" s="23"/>
      <c r="L20" s="23"/>
      <c r="M20" s="25">
        <f t="shared" si="0"/>
        <v>0</v>
      </c>
    </row>
    <row r="21" spans="5:13">
      <c r="E21" s="9">
        <v>11</v>
      </c>
      <c r="F21" s="10"/>
      <c r="G21" s="11"/>
      <c r="H21" s="23"/>
      <c r="I21" s="23"/>
      <c r="J21" s="23"/>
      <c r="K21" s="23"/>
      <c r="L21" s="23"/>
      <c r="M21" s="25">
        <f t="shared" si="0"/>
        <v>0</v>
      </c>
    </row>
    <row r="22" spans="5:13">
      <c r="E22" s="9">
        <v>12</v>
      </c>
      <c r="F22" s="10"/>
      <c r="G22" s="11"/>
      <c r="H22" s="23"/>
      <c r="I22" s="23"/>
      <c r="J22" s="23"/>
      <c r="K22" s="23"/>
      <c r="L22" s="23"/>
      <c r="M22" s="25">
        <f t="shared" si="0"/>
        <v>0</v>
      </c>
    </row>
    <row r="23" spans="5:13">
      <c r="E23" s="9">
        <v>13</v>
      </c>
      <c r="F23" s="10"/>
      <c r="G23" s="11"/>
      <c r="H23" s="23"/>
      <c r="I23" s="23"/>
      <c r="J23" s="23"/>
      <c r="K23" s="23"/>
      <c r="L23" s="23"/>
      <c r="M23" s="25">
        <f t="shared" si="0"/>
        <v>0</v>
      </c>
    </row>
    <row r="24" spans="5:13">
      <c r="E24" s="9">
        <v>14</v>
      </c>
      <c r="F24" s="10"/>
      <c r="G24" s="11"/>
      <c r="H24" s="23"/>
      <c r="I24" s="23"/>
      <c r="J24" s="23"/>
      <c r="K24" s="23"/>
      <c r="L24" s="23"/>
      <c r="M24" s="25">
        <f t="shared" si="0"/>
        <v>0</v>
      </c>
    </row>
    <row r="25" spans="5:13">
      <c r="E25" s="9">
        <v>15</v>
      </c>
      <c r="F25" s="10"/>
      <c r="G25" s="11"/>
      <c r="H25" s="23"/>
      <c r="I25" s="23"/>
      <c r="J25" s="23"/>
      <c r="K25" s="23"/>
      <c r="L25" s="23"/>
      <c r="M25" s="25">
        <f t="shared" si="0"/>
        <v>0</v>
      </c>
    </row>
    <row r="26" spans="5:13">
      <c r="E26" s="9">
        <v>16</v>
      </c>
      <c r="F26" s="10"/>
      <c r="G26" s="11"/>
      <c r="H26" s="23"/>
      <c r="I26" s="23"/>
      <c r="J26" s="23"/>
      <c r="K26" s="23"/>
      <c r="L26" s="23"/>
      <c r="M26" s="25">
        <f t="shared" si="0"/>
        <v>0</v>
      </c>
    </row>
    <row r="27" spans="5:13">
      <c r="E27" s="9">
        <v>17</v>
      </c>
      <c r="F27" s="10"/>
      <c r="G27" s="11"/>
      <c r="H27" s="23"/>
      <c r="I27" s="23"/>
      <c r="J27" s="23"/>
      <c r="K27" s="23"/>
      <c r="L27" s="23"/>
      <c r="M27" s="25">
        <f t="shared" si="0"/>
        <v>0</v>
      </c>
    </row>
    <row r="28" spans="5:13">
      <c r="E28" s="9">
        <v>18</v>
      </c>
      <c r="F28" s="10"/>
      <c r="G28" s="11"/>
      <c r="H28" s="23"/>
      <c r="I28" s="23"/>
      <c r="J28" s="23"/>
      <c r="K28" s="23"/>
      <c r="L28" s="23"/>
      <c r="M28" s="25">
        <f t="shared" si="0"/>
        <v>0</v>
      </c>
    </row>
    <row r="29" spans="5:13">
      <c r="E29" s="9">
        <v>19</v>
      </c>
      <c r="F29" s="10"/>
      <c r="G29" s="11"/>
      <c r="H29" s="23"/>
      <c r="I29" s="23"/>
      <c r="J29" s="23"/>
      <c r="K29" s="23"/>
      <c r="L29" s="23"/>
      <c r="M29" s="25">
        <f t="shared" si="0"/>
        <v>0</v>
      </c>
    </row>
    <row r="30" spans="5:13">
      <c r="E30" s="9">
        <v>20</v>
      </c>
      <c r="F30" s="10"/>
      <c r="G30" s="11"/>
      <c r="H30" s="23"/>
      <c r="I30" s="23"/>
      <c r="J30" s="23"/>
      <c r="K30" s="23"/>
      <c r="L30" s="23"/>
      <c r="M30" s="25">
        <f t="shared" si="0"/>
        <v>0</v>
      </c>
    </row>
    <row r="31" spans="5:13">
      <c r="E31" s="9">
        <v>21</v>
      </c>
      <c r="F31" s="10"/>
      <c r="G31" s="11"/>
      <c r="H31" s="23"/>
      <c r="I31" s="23"/>
      <c r="J31" s="23"/>
      <c r="K31" s="23"/>
      <c r="L31" s="23"/>
      <c r="M31" s="25">
        <f t="shared" si="0"/>
        <v>0</v>
      </c>
    </row>
    <row r="32" spans="5:13">
      <c r="E32" s="9">
        <v>22</v>
      </c>
      <c r="F32" s="10"/>
      <c r="G32" s="11"/>
      <c r="H32" s="23"/>
      <c r="I32" s="23"/>
      <c r="J32" s="23"/>
      <c r="K32" s="23"/>
      <c r="L32" s="23"/>
      <c r="M32" s="25">
        <f t="shared" si="0"/>
        <v>0</v>
      </c>
    </row>
    <row r="33" spans="5:13">
      <c r="E33" s="9">
        <v>23</v>
      </c>
      <c r="F33" s="10"/>
      <c r="G33" s="11"/>
      <c r="H33" s="23"/>
      <c r="I33" s="23"/>
      <c r="J33" s="23"/>
      <c r="K33" s="23"/>
      <c r="L33" s="23"/>
      <c r="M33" s="25">
        <f t="shared" si="0"/>
        <v>0</v>
      </c>
    </row>
    <row r="34" spans="5:13">
      <c r="E34" s="9">
        <v>24</v>
      </c>
      <c r="F34" s="10"/>
      <c r="G34" s="11"/>
      <c r="H34" s="23"/>
      <c r="I34" s="23"/>
      <c r="J34" s="23"/>
      <c r="K34" s="23"/>
      <c r="L34" s="23"/>
      <c r="M34" s="25">
        <f t="shared" si="0"/>
        <v>0</v>
      </c>
    </row>
    <row r="35" spans="5:13">
      <c r="E35" s="9">
        <v>25</v>
      </c>
      <c r="F35" s="10"/>
      <c r="G35" s="11"/>
      <c r="H35" s="23"/>
      <c r="I35" s="23"/>
      <c r="J35" s="23"/>
      <c r="K35" s="23"/>
      <c r="L35" s="23"/>
      <c r="M35" s="25">
        <f t="shared" si="0"/>
        <v>0</v>
      </c>
    </row>
    <row r="36" spans="5:13">
      <c r="E36" s="9">
        <v>26</v>
      </c>
      <c r="F36" s="10"/>
      <c r="G36" s="11"/>
      <c r="H36" s="23"/>
      <c r="I36" s="23"/>
      <c r="J36" s="23"/>
      <c r="K36" s="23"/>
      <c r="L36" s="23"/>
      <c r="M36" s="25">
        <f t="shared" si="0"/>
        <v>0</v>
      </c>
    </row>
    <row r="37" spans="5:13">
      <c r="E37" s="9">
        <v>27</v>
      </c>
      <c r="F37" s="10"/>
      <c r="G37" s="11"/>
      <c r="H37" s="23"/>
      <c r="I37" s="23"/>
      <c r="J37" s="23"/>
      <c r="K37" s="23"/>
      <c r="L37" s="23"/>
      <c r="M37" s="25">
        <f t="shared" si="0"/>
        <v>0</v>
      </c>
    </row>
    <row r="38" spans="5:13">
      <c r="E38" s="9">
        <v>28</v>
      </c>
      <c r="F38" s="10"/>
      <c r="G38" s="11"/>
      <c r="H38" s="23"/>
      <c r="I38" s="23"/>
      <c r="J38" s="23"/>
      <c r="K38" s="23"/>
      <c r="L38" s="23"/>
      <c r="M38" s="25">
        <f t="shared" si="0"/>
        <v>0</v>
      </c>
    </row>
    <row r="39" spans="5:13">
      <c r="E39" s="9">
        <v>29</v>
      </c>
      <c r="F39" s="10"/>
      <c r="G39" s="11"/>
      <c r="H39" s="23"/>
      <c r="I39" s="23"/>
      <c r="J39" s="23"/>
      <c r="K39" s="23"/>
      <c r="L39" s="23"/>
      <c r="M39" s="25">
        <f t="shared" si="0"/>
        <v>0</v>
      </c>
    </row>
    <row r="40" spans="5:13">
      <c r="E40" s="9">
        <v>30</v>
      </c>
      <c r="F40" s="10"/>
      <c r="G40" s="11"/>
      <c r="H40" s="23"/>
      <c r="I40" s="23"/>
      <c r="J40" s="23"/>
      <c r="K40" s="23"/>
      <c r="L40" s="23"/>
      <c r="M40" s="25">
        <f t="shared" si="0"/>
        <v>0</v>
      </c>
    </row>
    <row r="41" spans="5:13">
      <c r="E41" s="9">
        <v>31</v>
      </c>
      <c r="F41" s="10"/>
      <c r="G41" s="11"/>
      <c r="H41" s="23"/>
      <c r="I41" s="23"/>
      <c r="J41" s="23"/>
      <c r="K41" s="23"/>
      <c r="L41" s="23"/>
      <c r="M41" s="25">
        <f t="shared" si="0"/>
        <v>0</v>
      </c>
    </row>
    <row r="42" spans="5:13">
      <c r="E42" s="9">
        <v>32</v>
      </c>
      <c r="F42" s="10"/>
      <c r="G42" s="11"/>
      <c r="H42" s="23"/>
      <c r="I42" s="23"/>
      <c r="J42" s="23"/>
      <c r="K42" s="23"/>
      <c r="L42" s="23"/>
      <c r="M42" s="25">
        <f t="shared" si="0"/>
        <v>0</v>
      </c>
    </row>
    <row r="43" spans="5:13">
      <c r="E43" s="9">
        <v>33</v>
      </c>
      <c r="F43" s="10"/>
      <c r="G43" s="11"/>
      <c r="H43" s="23"/>
      <c r="I43" s="23"/>
      <c r="J43" s="23"/>
      <c r="K43" s="23"/>
      <c r="L43" s="23"/>
      <c r="M43" s="25">
        <f t="shared" si="0"/>
        <v>0</v>
      </c>
    </row>
    <row r="44" spans="5:13">
      <c r="E44" s="9">
        <v>34</v>
      </c>
      <c r="F44" s="10"/>
      <c r="G44" s="11"/>
      <c r="H44" s="23"/>
      <c r="I44" s="23"/>
      <c r="J44" s="23"/>
      <c r="K44" s="23"/>
      <c r="L44" s="23"/>
      <c r="M44" s="25">
        <f t="shared" si="0"/>
        <v>0</v>
      </c>
    </row>
    <row r="45" spans="5:13">
      <c r="E45" s="9">
        <v>35</v>
      </c>
      <c r="F45" s="10"/>
      <c r="G45" s="11"/>
      <c r="H45" s="23"/>
      <c r="I45" s="23"/>
      <c r="J45" s="23"/>
      <c r="K45" s="23"/>
      <c r="L45" s="23"/>
      <c r="M45" s="25">
        <f t="shared" si="0"/>
        <v>0</v>
      </c>
    </row>
    <row r="46" spans="5:13">
      <c r="E46" s="9">
        <v>36</v>
      </c>
      <c r="F46" s="10"/>
      <c r="G46" s="11"/>
      <c r="H46" s="23"/>
      <c r="I46" s="23"/>
      <c r="J46" s="23"/>
      <c r="K46" s="23"/>
      <c r="L46" s="23"/>
      <c r="M46" s="25">
        <f t="shared" si="0"/>
        <v>0</v>
      </c>
    </row>
    <row r="47" spans="5:13">
      <c r="E47" s="9">
        <v>37</v>
      </c>
      <c r="F47" s="10"/>
      <c r="G47" s="11"/>
      <c r="H47" s="23"/>
      <c r="I47" s="23"/>
      <c r="J47" s="23"/>
      <c r="K47" s="23"/>
      <c r="L47" s="23"/>
      <c r="M47" s="25">
        <f t="shared" si="0"/>
        <v>0</v>
      </c>
    </row>
    <row r="48" spans="5:13">
      <c r="E48" s="9">
        <v>38</v>
      </c>
      <c r="F48" s="10"/>
      <c r="G48" s="11"/>
      <c r="H48" s="23"/>
      <c r="I48" s="23"/>
      <c r="J48" s="23"/>
      <c r="K48" s="23"/>
      <c r="L48" s="23"/>
      <c r="M48" s="25">
        <f t="shared" si="0"/>
        <v>0</v>
      </c>
    </row>
    <row r="49" spans="5:13">
      <c r="E49" s="9">
        <v>39</v>
      </c>
      <c r="F49" s="10"/>
      <c r="G49" s="11"/>
      <c r="H49" s="23"/>
      <c r="I49" s="23"/>
      <c r="J49" s="23"/>
      <c r="K49" s="23"/>
      <c r="L49" s="23"/>
      <c r="M49" s="25">
        <f t="shared" si="0"/>
        <v>0</v>
      </c>
    </row>
    <row r="50" spans="5:13">
      <c r="E50" s="9">
        <v>40</v>
      </c>
      <c r="F50" s="10"/>
      <c r="G50" s="11"/>
      <c r="H50" s="23"/>
      <c r="I50" s="23"/>
      <c r="J50" s="23"/>
      <c r="K50" s="23"/>
      <c r="L50" s="23"/>
      <c r="M50" s="25">
        <f t="shared" si="0"/>
        <v>0</v>
      </c>
    </row>
    <row r="51" spans="5:13">
      <c r="E51" s="9">
        <v>41</v>
      </c>
      <c r="F51" s="10"/>
      <c r="G51" s="11"/>
      <c r="H51" s="23"/>
      <c r="I51" s="23"/>
      <c r="J51" s="23"/>
      <c r="K51" s="23"/>
      <c r="L51" s="23"/>
      <c r="M51" s="25">
        <f t="shared" si="0"/>
        <v>0</v>
      </c>
    </row>
    <row r="52" spans="5:13">
      <c r="E52" s="9">
        <v>42</v>
      </c>
      <c r="F52" s="10"/>
      <c r="G52" s="11"/>
      <c r="H52" s="23"/>
      <c r="I52" s="23"/>
      <c r="J52" s="23"/>
      <c r="K52" s="23"/>
      <c r="L52" s="23"/>
      <c r="M52" s="25">
        <f t="shared" si="0"/>
        <v>0</v>
      </c>
    </row>
    <row r="53" spans="5:13">
      <c r="E53" s="9">
        <v>43</v>
      </c>
      <c r="F53" s="10"/>
      <c r="G53" s="11"/>
      <c r="H53" s="23"/>
      <c r="I53" s="23"/>
      <c r="J53" s="23"/>
      <c r="K53" s="23"/>
      <c r="L53" s="23"/>
      <c r="M53" s="25">
        <f t="shared" si="0"/>
        <v>0</v>
      </c>
    </row>
    <row r="54" spans="5:13">
      <c r="E54" s="9">
        <v>44</v>
      </c>
      <c r="F54" s="10"/>
      <c r="G54" s="11"/>
      <c r="H54" s="23"/>
      <c r="I54" s="23"/>
      <c r="J54" s="23"/>
      <c r="K54" s="23"/>
      <c r="L54" s="23"/>
      <c r="M54" s="25">
        <f t="shared" si="0"/>
        <v>0</v>
      </c>
    </row>
    <row r="55" spans="5:13">
      <c r="E55" s="9">
        <v>45</v>
      </c>
      <c r="F55" s="10"/>
      <c r="G55" s="11"/>
      <c r="H55" s="23"/>
      <c r="I55" s="23"/>
      <c r="J55" s="23"/>
      <c r="K55" s="23"/>
      <c r="L55" s="23"/>
      <c r="M55" s="25">
        <f t="shared" si="0"/>
        <v>0</v>
      </c>
    </row>
    <row r="56" spans="5:13">
      <c r="E56" s="9">
        <v>46</v>
      </c>
      <c r="F56" s="10"/>
      <c r="G56" s="11"/>
      <c r="H56" s="23"/>
      <c r="I56" s="23"/>
      <c r="J56" s="23"/>
      <c r="K56" s="23"/>
      <c r="L56" s="23"/>
      <c r="M56" s="25">
        <f t="shared" si="0"/>
        <v>0</v>
      </c>
    </row>
    <row r="57" spans="5:13">
      <c r="E57" s="9">
        <v>47</v>
      </c>
      <c r="F57" s="10"/>
      <c r="G57" s="11"/>
      <c r="H57" s="23"/>
      <c r="I57" s="23"/>
      <c r="J57" s="23"/>
      <c r="K57" s="23"/>
      <c r="L57" s="23"/>
      <c r="M57" s="25">
        <f t="shared" si="0"/>
        <v>0</v>
      </c>
    </row>
    <row r="58" spans="5:13">
      <c r="E58" s="9">
        <v>48</v>
      </c>
      <c r="F58" s="10"/>
      <c r="G58" s="11"/>
      <c r="H58" s="23"/>
      <c r="I58" s="23"/>
      <c r="J58" s="23"/>
      <c r="K58" s="23"/>
      <c r="L58" s="23"/>
      <c r="M58" s="25">
        <f t="shared" si="0"/>
        <v>0</v>
      </c>
    </row>
    <row r="59" spans="5:13">
      <c r="E59" s="9">
        <v>49</v>
      </c>
      <c r="F59" s="10"/>
      <c r="G59" s="11"/>
      <c r="H59" s="23"/>
      <c r="I59" s="23"/>
      <c r="J59" s="23"/>
      <c r="K59" s="23"/>
      <c r="L59" s="23"/>
      <c r="M59" s="25">
        <f t="shared" si="0"/>
        <v>0</v>
      </c>
    </row>
    <row r="60" spans="5:13">
      <c r="E60" s="9">
        <v>50</v>
      </c>
      <c r="F60" s="10"/>
      <c r="G60" s="11"/>
      <c r="H60" s="23"/>
      <c r="I60" s="23"/>
      <c r="J60" s="23"/>
      <c r="K60" s="23"/>
      <c r="L60" s="23"/>
      <c r="M60" s="25">
        <f t="shared" si="0"/>
        <v>0</v>
      </c>
    </row>
    <row r="61" spans="5:13">
      <c r="E61" s="9">
        <v>51</v>
      </c>
      <c r="F61" s="10"/>
      <c r="G61" s="11"/>
      <c r="H61" s="23"/>
      <c r="I61" s="23"/>
      <c r="J61" s="23"/>
      <c r="K61" s="23"/>
      <c r="L61" s="23"/>
      <c r="M61" s="25">
        <f t="shared" si="0"/>
        <v>0</v>
      </c>
    </row>
    <row r="62" spans="5:13">
      <c r="E62" s="9">
        <v>52</v>
      </c>
      <c r="F62" s="10"/>
      <c r="G62" s="11"/>
      <c r="H62" s="23"/>
      <c r="I62" s="23"/>
      <c r="J62" s="23"/>
      <c r="K62" s="23"/>
      <c r="L62" s="23"/>
      <c r="M62" s="25">
        <f t="shared" si="0"/>
        <v>0</v>
      </c>
    </row>
    <row r="63" spans="5:13">
      <c r="E63" s="9">
        <v>53</v>
      </c>
      <c r="F63" s="10"/>
      <c r="G63" s="11"/>
      <c r="H63" s="23"/>
      <c r="I63" s="23"/>
      <c r="J63" s="23"/>
      <c r="K63" s="23"/>
      <c r="L63" s="23"/>
      <c r="M63" s="25">
        <f t="shared" si="0"/>
        <v>0</v>
      </c>
    </row>
    <row r="64" spans="5:13">
      <c r="E64" s="9">
        <v>54</v>
      </c>
      <c r="F64" s="10"/>
      <c r="G64" s="11"/>
      <c r="H64" s="23"/>
      <c r="I64" s="23"/>
      <c r="J64" s="23"/>
      <c r="K64" s="23"/>
      <c r="L64" s="23"/>
      <c r="M64" s="25">
        <f t="shared" si="0"/>
        <v>0</v>
      </c>
    </row>
    <row r="65" spans="5:13">
      <c r="E65" s="9">
        <v>55</v>
      </c>
      <c r="F65" s="10"/>
      <c r="G65" s="11"/>
      <c r="H65" s="23"/>
      <c r="I65" s="23"/>
      <c r="J65" s="23"/>
      <c r="K65" s="23"/>
      <c r="L65" s="23"/>
      <c r="M65" s="25">
        <f t="shared" si="0"/>
        <v>0</v>
      </c>
    </row>
    <row r="66" spans="5:13">
      <c r="E66" s="9">
        <v>56</v>
      </c>
      <c r="F66" s="10"/>
      <c r="G66" s="11"/>
      <c r="H66" s="23"/>
      <c r="I66" s="23"/>
      <c r="J66" s="23"/>
      <c r="K66" s="23"/>
      <c r="L66" s="23"/>
      <c r="M66" s="25">
        <f t="shared" si="0"/>
        <v>0</v>
      </c>
    </row>
    <row r="67" spans="5:13">
      <c r="E67" s="9">
        <v>57</v>
      </c>
      <c r="F67" s="10"/>
      <c r="G67" s="11"/>
      <c r="H67" s="23"/>
      <c r="I67" s="23"/>
      <c r="J67" s="23"/>
      <c r="K67" s="23"/>
      <c r="L67" s="23"/>
      <c r="M67" s="25">
        <f t="shared" si="0"/>
        <v>0</v>
      </c>
    </row>
    <row r="68" spans="5:13">
      <c r="E68" s="9">
        <v>58</v>
      </c>
      <c r="F68" s="10"/>
      <c r="G68" s="11"/>
      <c r="H68" s="23"/>
      <c r="I68" s="23"/>
      <c r="J68" s="23"/>
      <c r="K68" s="23"/>
      <c r="L68" s="23"/>
      <c r="M68" s="25">
        <f t="shared" si="0"/>
        <v>0</v>
      </c>
    </row>
    <row r="69" spans="5:13">
      <c r="E69" s="9">
        <v>59</v>
      </c>
      <c r="F69" s="10"/>
      <c r="G69" s="11"/>
      <c r="H69" s="23"/>
      <c r="I69" s="23"/>
      <c r="J69" s="23"/>
      <c r="K69" s="23"/>
      <c r="L69" s="23"/>
      <c r="M69" s="25">
        <f t="shared" si="0"/>
        <v>0</v>
      </c>
    </row>
    <row r="70" spans="5:13">
      <c r="E70" s="9">
        <v>60</v>
      </c>
      <c r="F70" s="10"/>
      <c r="G70" s="11"/>
      <c r="H70" s="23"/>
      <c r="I70" s="23"/>
      <c r="J70" s="23"/>
      <c r="K70" s="23"/>
      <c r="L70" s="23"/>
      <c r="M70" s="25">
        <f t="shared" si="0"/>
        <v>0</v>
      </c>
    </row>
    <row r="71" spans="5:13">
      <c r="E71" s="9">
        <v>61</v>
      </c>
      <c r="F71" s="10"/>
      <c r="G71" s="11"/>
      <c r="H71" s="23"/>
      <c r="I71" s="23"/>
      <c r="J71" s="23"/>
      <c r="K71" s="23"/>
      <c r="L71" s="23"/>
      <c r="M71" s="25">
        <f t="shared" si="0"/>
        <v>0</v>
      </c>
    </row>
    <row r="72" spans="5:13">
      <c r="E72" s="9">
        <v>62</v>
      </c>
      <c r="F72" s="10"/>
      <c r="G72" s="11"/>
      <c r="H72" s="23"/>
      <c r="I72" s="23"/>
      <c r="J72" s="23"/>
      <c r="K72" s="23"/>
      <c r="L72" s="23"/>
      <c r="M72" s="25">
        <f t="shared" si="0"/>
        <v>0</v>
      </c>
    </row>
    <row r="73" spans="5:13">
      <c r="E73" s="9">
        <v>63</v>
      </c>
      <c r="F73" s="10"/>
      <c r="G73" s="11"/>
      <c r="H73" s="23"/>
      <c r="I73" s="23"/>
      <c r="J73" s="23"/>
      <c r="K73" s="23"/>
      <c r="L73" s="23"/>
      <c r="M73" s="25">
        <f t="shared" si="0"/>
        <v>0</v>
      </c>
    </row>
    <row r="74" spans="5:13">
      <c r="E74" s="9">
        <v>64</v>
      </c>
      <c r="F74" s="10"/>
      <c r="G74" s="11"/>
      <c r="H74" s="23"/>
      <c r="I74" s="23"/>
      <c r="J74" s="23"/>
      <c r="K74" s="23"/>
      <c r="L74" s="23"/>
      <c r="M74" s="25">
        <f t="shared" si="0"/>
        <v>0</v>
      </c>
    </row>
    <row r="75" spans="5:13">
      <c r="E75" s="9">
        <v>65</v>
      </c>
      <c r="F75" s="10"/>
      <c r="G75" s="11"/>
      <c r="H75" s="23"/>
      <c r="I75" s="23"/>
      <c r="J75" s="23"/>
      <c r="K75" s="23"/>
      <c r="L75" s="23"/>
      <c r="M75" s="25">
        <f t="shared" si="0"/>
        <v>0</v>
      </c>
    </row>
    <row r="76" spans="5:13">
      <c r="E76" s="9">
        <v>66</v>
      </c>
      <c r="F76" s="10"/>
      <c r="G76" s="11"/>
      <c r="H76" s="23"/>
      <c r="I76" s="23"/>
      <c r="J76" s="23"/>
      <c r="K76" s="23"/>
      <c r="L76" s="23"/>
      <c r="M76" s="25">
        <f t="shared" si="0"/>
        <v>0</v>
      </c>
    </row>
    <row r="77" spans="5:13">
      <c r="E77" s="9">
        <v>67</v>
      </c>
      <c r="F77" s="10"/>
      <c r="G77" s="11"/>
      <c r="H77" s="23"/>
      <c r="I77" s="23"/>
      <c r="J77" s="23"/>
      <c r="K77" s="23"/>
      <c r="L77" s="23"/>
      <c r="M77" s="25">
        <f t="shared" si="0"/>
        <v>0</v>
      </c>
    </row>
    <row r="78" spans="5:13">
      <c r="E78" s="9">
        <v>69</v>
      </c>
      <c r="F78" s="10"/>
      <c r="G78" s="11"/>
      <c r="H78" s="23"/>
      <c r="I78" s="23"/>
      <c r="J78" s="23"/>
      <c r="K78" s="23"/>
      <c r="L78" s="23"/>
      <c r="M78" s="25">
        <f t="shared" si="0"/>
        <v>0</v>
      </c>
    </row>
    <row r="79" spans="5:13">
      <c r="E79" s="9">
        <v>70</v>
      </c>
      <c r="F79" s="10"/>
      <c r="G79" s="11"/>
      <c r="H79" s="23"/>
      <c r="I79" s="23"/>
      <c r="J79" s="23"/>
      <c r="K79" s="23"/>
      <c r="L79" s="23"/>
      <c r="M79" s="25">
        <f t="shared" ref="M79:M142" si="1">(H79+I79+J79+K79+L79)</f>
        <v>0</v>
      </c>
    </row>
    <row r="80" spans="5:13">
      <c r="E80" s="9">
        <v>71</v>
      </c>
      <c r="F80" s="10"/>
      <c r="G80" s="11"/>
      <c r="H80" s="23"/>
      <c r="I80" s="23"/>
      <c r="J80" s="23"/>
      <c r="K80" s="23"/>
      <c r="L80" s="23"/>
      <c r="M80" s="25">
        <f t="shared" si="1"/>
        <v>0</v>
      </c>
    </row>
    <row r="81" spans="5:13">
      <c r="E81" s="9">
        <v>72</v>
      </c>
      <c r="F81" s="10"/>
      <c r="G81" s="11"/>
      <c r="H81" s="23"/>
      <c r="I81" s="23"/>
      <c r="J81" s="23"/>
      <c r="K81" s="23"/>
      <c r="L81" s="23"/>
      <c r="M81" s="25">
        <f t="shared" si="1"/>
        <v>0</v>
      </c>
    </row>
    <row r="82" spans="5:13">
      <c r="E82" s="9">
        <v>73</v>
      </c>
      <c r="F82" s="10"/>
      <c r="G82" s="11"/>
      <c r="H82" s="23"/>
      <c r="I82" s="23"/>
      <c r="J82" s="23"/>
      <c r="K82" s="23"/>
      <c r="L82" s="23"/>
      <c r="M82" s="25">
        <f t="shared" si="1"/>
        <v>0</v>
      </c>
    </row>
    <row r="83" spans="5:13">
      <c r="E83" s="9">
        <v>74</v>
      </c>
      <c r="F83" s="10"/>
      <c r="G83" s="11"/>
      <c r="H83" s="23"/>
      <c r="I83" s="23"/>
      <c r="J83" s="23"/>
      <c r="K83" s="23"/>
      <c r="L83" s="23"/>
      <c r="M83" s="25">
        <f t="shared" si="1"/>
        <v>0</v>
      </c>
    </row>
    <row r="84" spans="5:13">
      <c r="E84" s="9">
        <v>75</v>
      </c>
      <c r="F84" s="10"/>
      <c r="G84" s="11"/>
      <c r="H84" s="23"/>
      <c r="I84" s="23"/>
      <c r="J84" s="23"/>
      <c r="K84" s="23"/>
      <c r="L84" s="23"/>
      <c r="M84" s="25">
        <f t="shared" si="1"/>
        <v>0</v>
      </c>
    </row>
    <row r="85" spans="5:13">
      <c r="E85" s="9">
        <v>76</v>
      </c>
      <c r="F85" s="10"/>
      <c r="G85" s="11"/>
      <c r="H85" s="23"/>
      <c r="I85" s="23"/>
      <c r="J85" s="23"/>
      <c r="K85" s="23"/>
      <c r="L85" s="23"/>
      <c r="M85" s="25">
        <f t="shared" si="1"/>
        <v>0</v>
      </c>
    </row>
    <row r="86" spans="5:13">
      <c r="E86" s="9">
        <v>77</v>
      </c>
      <c r="F86" s="10"/>
      <c r="G86" s="11"/>
      <c r="H86" s="23"/>
      <c r="I86" s="23"/>
      <c r="J86" s="23"/>
      <c r="K86" s="23"/>
      <c r="L86" s="23"/>
      <c r="M86" s="25">
        <f t="shared" si="1"/>
        <v>0</v>
      </c>
    </row>
    <row r="87" spans="5:13">
      <c r="E87" s="9">
        <v>78</v>
      </c>
      <c r="F87" s="10"/>
      <c r="G87" s="11"/>
      <c r="H87" s="23"/>
      <c r="I87" s="23"/>
      <c r="J87" s="23"/>
      <c r="K87" s="23"/>
      <c r="L87" s="23"/>
      <c r="M87" s="25">
        <f t="shared" si="1"/>
        <v>0</v>
      </c>
    </row>
    <row r="88" spans="5:13">
      <c r="E88" s="9">
        <v>79</v>
      </c>
      <c r="F88" s="10"/>
      <c r="G88" s="11"/>
      <c r="H88" s="23"/>
      <c r="I88" s="23"/>
      <c r="J88" s="23"/>
      <c r="K88" s="23"/>
      <c r="L88" s="23"/>
      <c r="M88" s="25">
        <f t="shared" si="1"/>
        <v>0</v>
      </c>
    </row>
    <row r="89" spans="5:13">
      <c r="E89" s="9">
        <v>80</v>
      </c>
      <c r="F89" s="10"/>
      <c r="G89" s="11"/>
      <c r="H89" s="23"/>
      <c r="I89" s="23"/>
      <c r="J89" s="23"/>
      <c r="K89" s="23"/>
      <c r="L89" s="23"/>
      <c r="M89" s="25">
        <f t="shared" si="1"/>
        <v>0</v>
      </c>
    </row>
    <row r="90" spans="5:13">
      <c r="E90" s="9">
        <v>81</v>
      </c>
      <c r="F90" s="10"/>
      <c r="G90" s="11"/>
      <c r="H90" s="23"/>
      <c r="I90" s="23"/>
      <c r="J90" s="23"/>
      <c r="K90" s="23"/>
      <c r="L90" s="23"/>
      <c r="M90" s="25">
        <f t="shared" si="1"/>
        <v>0</v>
      </c>
    </row>
    <row r="91" spans="5:13">
      <c r="E91" s="9">
        <v>82</v>
      </c>
      <c r="F91" s="10"/>
      <c r="G91" s="11"/>
      <c r="H91" s="23"/>
      <c r="I91" s="23"/>
      <c r="J91" s="23"/>
      <c r="K91" s="23"/>
      <c r="L91" s="23"/>
      <c r="M91" s="25">
        <f t="shared" si="1"/>
        <v>0</v>
      </c>
    </row>
    <row r="92" spans="5:13">
      <c r="E92" s="9">
        <v>83</v>
      </c>
      <c r="F92" s="10"/>
      <c r="G92" s="11"/>
      <c r="H92" s="23"/>
      <c r="I92" s="23"/>
      <c r="J92" s="23"/>
      <c r="K92" s="23"/>
      <c r="L92" s="23"/>
      <c r="M92" s="25">
        <f t="shared" si="1"/>
        <v>0</v>
      </c>
    </row>
    <row r="93" spans="5:13">
      <c r="E93" s="9">
        <v>84</v>
      </c>
      <c r="F93" s="10"/>
      <c r="G93" s="11"/>
      <c r="H93" s="23"/>
      <c r="I93" s="23"/>
      <c r="J93" s="23"/>
      <c r="K93" s="23"/>
      <c r="L93" s="23"/>
      <c r="M93" s="25">
        <f t="shared" si="1"/>
        <v>0</v>
      </c>
    </row>
    <row r="94" spans="5:13">
      <c r="E94" s="9">
        <v>85</v>
      </c>
      <c r="F94" s="10"/>
      <c r="G94" s="11"/>
      <c r="H94" s="23"/>
      <c r="I94" s="23"/>
      <c r="J94" s="23"/>
      <c r="K94" s="23"/>
      <c r="L94" s="23"/>
      <c r="M94" s="25">
        <f t="shared" si="1"/>
        <v>0</v>
      </c>
    </row>
    <row r="95" spans="5:13">
      <c r="E95" s="9">
        <v>86</v>
      </c>
      <c r="F95" s="10"/>
      <c r="G95" s="11"/>
      <c r="H95" s="23"/>
      <c r="I95" s="23"/>
      <c r="J95" s="23"/>
      <c r="K95" s="23"/>
      <c r="L95" s="23"/>
      <c r="M95" s="25">
        <f t="shared" si="1"/>
        <v>0</v>
      </c>
    </row>
    <row r="96" spans="5:13">
      <c r="E96" s="9">
        <v>87</v>
      </c>
      <c r="F96" s="10"/>
      <c r="G96" s="11"/>
      <c r="H96" s="23"/>
      <c r="I96" s="23"/>
      <c r="J96" s="23"/>
      <c r="K96" s="23"/>
      <c r="L96" s="23"/>
      <c r="M96" s="25">
        <f t="shared" si="1"/>
        <v>0</v>
      </c>
    </row>
    <row r="97" spans="5:13">
      <c r="E97" s="9">
        <v>88</v>
      </c>
      <c r="F97" s="10"/>
      <c r="G97" s="11"/>
      <c r="H97" s="23"/>
      <c r="I97" s="23"/>
      <c r="J97" s="23"/>
      <c r="K97" s="23"/>
      <c r="L97" s="23"/>
      <c r="M97" s="25">
        <f t="shared" si="1"/>
        <v>0</v>
      </c>
    </row>
    <row r="98" spans="5:13">
      <c r="E98" s="9">
        <v>89</v>
      </c>
      <c r="F98" s="10"/>
      <c r="G98" s="11"/>
      <c r="H98" s="23"/>
      <c r="I98" s="23"/>
      <c r="J98" s="23"/>
      <c r="K98" s="23"/>
      <c r="L98" s="23"/>
      <c r="M98" s="25">
        <f t="shared" si="1"/>
        <v>0</v>
      </c>
    </row>
    <row r="99" spans="5:13">
      <c r="E99" s="9">
        <v>90</v>
      </c>
      <c r="F99" s="10"/>
      <c r="G99" s="11"/>
      <c r="H99" s="23"/>
      <c r="I99" s="23"/>
      <c r="J99" s="23"/>
      <c r="K99" s="23"/>
      <c r="L99" s="23"/>
      <c r="M99" s="25">
        <f t="shared" si="1"/>
        <v>0</v>
      </c>
    </row>
    <row r="100" spans="5:13">
      <c r="E100" s="9">
        <v>91</v>
      </c>
      <c r="F100" s="10"/>
      <c r="G100" s="11"/>
      <c r="H100" s="23"/>
      <c r="I100" s="23"/>
      <c r="J100" s="23"/>
      <c r="K100" s="23"/>
      <c r="L100" s="23"/>
      <c r="M100" s="25">
        <f t="shared" si="1"/>
        <v>0</v>
      </c>
    </row>
    <row r="101" spans="5:13">
      <c r="E101" s="9">
        <v>92</v>
      </c>
      <c r="F101" s="10"/>
      <c r="G101" s="11"/>
      <c r="H101" s="23"/>
      <c r="I101" s="23"/>
      <c r="J101" s="23"/>
      <c r="K101" s="23"/>
      <c r="L101" s="23"/>
      <c r="M101" s="25">
        <f t="shared" si="1"/>
        <v>0</v>
      </c>
    </row>
    <row r="102" spans="5:13">
      <c r="E102" s="9">
        <v>93</v>
      </c>
      <c r="F102" s="10"/>
      <c r="G102" s="11"/>
      <c r="H102" s="23"/>
      <c r="I102" s="23"/>
      <c r="J102" s="23"/>
      <c r="K102" s="23"/>
      <c r="L102" s="23"/>
      <c r="M102" s="25">
        <f t="shared" si="1"/>
        <v>0</v>
      </c>
    </row>
    <row r="103" spans="5:13">
      <c r="E103" s="9">
        <v>94</v>
      </c>
      <c r="F103" s="10"/>
      <c r="G103" s="11"/>
      <c r="H103" s="23"/>
      <c r="I103" s="23"/>
      <c r="J103" s="23"/>
      <c r="K103" s="23"/>
      <c r="L103" s="23"/>
      <c r="M103" s="25">
        <f t="shared" si="1"/>
        <v>0</v>
      </c>
    </row>
    <row r="104" spans="5:13">
      <c r="E104" s="9">
        <v>95</v>
      </c>
      <c r="F104" s="10"/>
      <c r="G104" s="11"/>
      <c r="H104" s="23"/>
      <c r="I104" s="23"/>
      <c r="J104" s="23"/>
      <c r="K104" s="23"/>
      <c r="L104" s="23"/>
      <c r="M104" s="25">
        <f t="shared" si="1"/>
        <v>0</v>
      </c>
    </row>
    <row r="105" spans="5:13">
      <c r="E105" s="9">
        <v>97</v>
      </c>
      <c r="F105" s="10"/>
      <c r="G105" s="11"/>
      <c r="H105" s="23"/>
      <c r="I105" s="23"/>
      <c r="J105" s="23"/>
      <c r="K105" s="23"/>
      <c r="L105" s="23"/>
      <c r="M105" s="25">
        <f t="shared" si="1"/>
        <v>0</v>
      </c>
    </row>
    <row r="106" spans="5:13">
      <c r="E106" s="9">
        <v>98</v>
      </c>
      <c r="F106" s="10"/>
      <c r="G106" s="11"/>
      <c r="H106" s="23"/>
      <c r="I106" s="23"/>
      <c r="J106" s="23"/>
      <c r="K106" s="23"/>
      <c r="L106" s="23"/>
      <c r="M106" s="25">
        <f t="shared" si="1"/>
        <v>0</v>
      </c>
    </row>
    <row r="107" spans="5:13">
      <c r="E107" s="9">
        <v>99</v>
      </c>
      <c r="F107" s="10"/>
      <c r="G107" s="11"/>
      <c r="H107" s="23"/>
      <c r="I107" s="23"/>
      <c r="J107" s="23"/>
      <c r="K107" s="23"/>
      <c r="L107" s="23"/>
      <c r="M107" s="25">
        <f t="shared" si="1"/>
        <v>0</v>
      </c>
    </row>
    <row r="108" spans="5:13">
      <c r="E108" s="9">
        <v>100</v>
      </c>
      <c r="F108" s="10"/>
      <c r="G108" s="11"/>
      <c r="H108" s="23"/>
      <c r="I108" s="23"/>
      <c r="J108" s="23"/>
      <c r="K108" s="23"/>
      <c r="L108" s="23"/>
      <c r="M108" s="25">
        <f t="shared" si="1"/>
        <v>0</v>
      </c>
    </row>
    <row r="109" spans="5:13">
      <c r="E109" s="9">
        <v>101</v>
      </c>
      <c r="F109" s="10"/>
      <c r="G109" s="11"/>
      <c r="H109" s="23"/>
      <c r="I109" s="23"/>
      <c r="J109" s="23"/>
      <c r="K109" s="23"/>
      <c r="L109" s="23"/>
      <c r="M109" s="25">
        <f t="shared" si="1"/>
        <v>0</v>
      </c>
    </row>
    <row r="110" spans="5:13">
      <c r="E110" s="9">
        <v>102</v>
      </c>
      <c r="F110" s="10"/>
      <c r="G110" s="11"/>
      <c r="H110" s="23"/>
      <c r="I110" s="23"/>
      <c r="J110" s="23"/>
      <c r="K110" s="23"/>
      <c r="L110" s="23"/>
      <c r="M110" s="25">
        <f t="shared" si="1"/>
        <v>0</v>
      </c>
    </row>
    <row r="111" spans="5:13">
      <c r="E111" s="9">
        <v>103</v>
      </c>
      <c r="F111" s="10"/>
      <c r="G111" s="11"/>
      <c r="H111" s="23"/>
      <c r="I111" s="23"/>
      <c r="J111" s="23"/>
      <c r="K111" s="23"/>
      <c r="L111" s="23"/>
      <c r="M111" s="25">
        <f t="shared" si="1"/>
        <v>0</v>
      </c>
    </row>
    <row r="112" spans="5:13">
      <c r="E112" s="9">
        <v>104</v>
      </c>
      <c r="F112" s="10"/>
      <c r="G112" s="11"/>
      <c r="H112" s="23"/>
      <c r="I112" s="23"/>
      <c r="J112" s="23"/>
      <c r="K112" s="23"/>
      <c r="L112" s="23"/>
      <c r="M112" s="25">
        <f t="shared" si="1"/>
        <v>0</v>
      </c>
    </row>
    <row r="113" spans="5:13">
      <c r="E113" s="9">
        <v>105</v>
      </c>
      <c r="F113" s="10"/>
      <c r="G113" s="11"/>
      <c r="H113" s="23"/>
      <c r="I113" s="23"/>
      <c r="J113" s="23"/>
      <c r="K113" s="23"/>
      <c r="L113" s="23"/>
      <c r="M113" s="25">
        <f t="shared" si="1"/>
        <v>0</v>
      </c>
    </row>
    <row r="114" spans="5:13">
      <c r="E114" s="9">
        <v>106</v>
      </c>
      <c r="F114" s="10"/>
      <c r="G114" s="11"/>
      <c r="H114" s="23"/>
      <c r="I114" s="23"/>
      <c r="J114" s="23"/>
      <c r="K114" s="23"/>
      <c r="L114" s="23"/>
      <c r="M114" s="25">
        <f t="shared" si="1"/>
        <v>0</v>
      </c>
    </row>
    <row r="115" spans="5:13">
      <c r="E115" s="9">
        <v>107</v>
      </c>
      <c r="F115" s="10"/>
      <c r="G115" s="11"/>
      <c r="H115" s="23"/>
      <c r="I115" s="23"/>
      <c r="J115" s="23"/>
      <c r="K115" s="23"/>
      <c r="L115" s="23"/>
      <c r="M115" s="25">
        <f t="shared" si="1"/>
        <v>0</v>
      </c>
    </row>
    <row r="116" spans="5:13">
      <c r="E116" s="9">
        <v>108</v>
      </c>
      <c r="F116" s="10"/>
      <c r="G116" s="11"/>
      <c r="H116" s="23"/>
      <c r="I116" s="23"/>
      <c r="J116" s="23"/>
      <c r="K116" s="23"/>
      <c r="L116" s="23"/>
      <c r="M116" s="25">
        <f t="shared" si="1"/>
        <v>0</v>
      </c>
    </row>
    <row r="117" spans="5:13">
      <c r="E117" s="9">
        <v>109</v>
      </c>
      <c r="F117" s="10"/>
      <c r="G117" s="11"/>
      <c r="H117" s="23"/>
      <c r="I117" s="23"/>
      <c r="J117" s="23"/>
      <c r="K117" s="23"/>
      <c r="L117" s="23"/>
      <c r="M117" s="25">
        <f t="shared" si="1"/>
        <v>0</v>
      </c>
    </row>
    <row r="118" spans="5:13">
      <c r="E118" s="9">
        <v>110</v>
      </c>
      <c r="F118" s="10"/>
      <c r="G118" s="11"/>
      <c r="H118" s="23"/>
      <c r="I118" s="23"/>
      <c r="J118" s="23"/>
      <c r="K118" s="23"/>
      <c r="L118" s="23"/>
      <c r="M118" s="25">
        <f t="shared" si="1"/>
        <v>0</v>
      </c>
    </row>
    <row r="119" spans="5:13">
      <c r="E119" s="9">
        <v>111</v>
      </c>
      <c r="F119" s="10"/>
      <c r="G119" s="11"/>
      <c r="H119" s="23"/>
      <c r="I119" s="23"/>
      <c r="J119" s="23"/>
      <c r="K119" s="23"/>
      <c r="L119" s="23"/>
      <c r="M119" s="25">
        <f t="shared" si="1"/>
        <v>0</v>
      </c>
    </row>
    <row r="120" spans="5:13">
      <c r="E120" s="9">
        <v>112</v>
      </c>
      <c r="F120" s="10"/>
      <c r="G120" s="11"/>
      <c r="H120" s="23"/>
      <c r="I120" s="23"/>
      <c r="J120" s="23"/>
      <c r="K120" s="23"/>
      <c r="L120" s="23"/>
      <c r="M120" s="25">
        <f t="shared" si="1"/>
        <v>0</v>
      </c>
    </row>
    <row r="121" spans="5:13">
      <c r="E121" s="9">
        <v>113</v>
      </c>
      <c r="F121" s="10"/>
      <c r="G121" s="11"/>
      <c r="H121" s="23"/>
      <c r="I121" s="23"/>
      <c r="J121" s="23"/>
      <c r="K121" s="23"/>
      <c r="L121" s="23"/>
      <c r="M121" s="25">
        <f t="shared" si="1"/>
        <v>0</v>
      </c>
    </row>
    <row r="122" spans="5:13">
      <c r="E122" s="9">
        <v>114</v>
      </c>
      <c r="F122" s="10"/>
      <c r="G122" s="11"/>
      <c r="H122" s="23"/>
      <c r="I122" s="23"/>
      <c r="J122" s="23"/>
      <c r="K122" s="23"/>
      <c r="L122" s="23"/>
      <c r="M122" s="25">
        <f t="shared" si="1"/>
        <v>0</v>
      </c>
    </row>
    <row r="123" spans="5:13">
      <c r="E123" s="9">
        <v>115</v>
      </c>
      <c r="F123" s="10"/>
      <c r="G123" s="11"/>
      <c r="H123" s="23"/>
      <c r="I123" s="23"/>
      <c r="J123" s="23"/>
      <c r="K123" s="23"/>
      <c r="L123" s="23"/>
      <c r="M123" s="25">
        <f t="shared" si="1"/>
        <v>0</v>
      </c>
    </row>
    <row r="124" spans="5:13">
      <c r="E124" s="9">
        <v>116</v>
      </c>
      <c r="F124" s="10"/>
      <c r="G124" s="11"/>
      <c r="H124" s="23"/>
      <c r="I124" s="23"/>
      <c r="J124" s="23"/>
      <c r="K124" s="23"/>
      <c r="L124" s="23"/>
      <c r="M124" s="25">
        <f t="shared" si="1"/>
        <v>0</v>
      </c>
    </row>
    <row r="125" spans="5:13">
      <c r="E125" s="9">
        <v>117</v>
      </c>
      <c r="F125" s="10"/>
      <c r="G125" s="11"/>
      <c r="H125" s="23"/>
      <c r="I125" s="23"/>
      <c r="J125" s="23"/>
      <c r="K125" s="23"/>
      <c r="L125" s="23"/>
      <c r="M125" s="25">
        <f t="shared" si="1"/>
        <v>0</v>
      </c>
    </row>
    <row r="126" spans="5:13">
      <c r="E126" s="9">
        <v>118</v>
      </c>
      <c r="F126" s="10"/>
      <c r="G126" s="11"/>
      <c r="H126" s="23"/>
      <c r="I126" s="23"/>
      <c r="J126" s="23"/>
      <c r="K126" s="23"/>
      <c r="L126" s="23"/>
      <c r="M126" s="25">
        <f t="shared" si="1"/>
        <v>0</v>
      </c>
    </row>
    <row r="127" spans="5:13">
      <c r="E127" s="9">
        <v>119</v>
      </c>
      <c r="F127" s="10"/>
      <c r="G127" s="11"/>
      <c r="H127" s="23"/>
      <c r="I127" s="23"/>
      <c r="J127" s="23"/>
      <c r="K127" s="23"/>
      <c r="L127" s="23"/>
      <c r="M127" s="25">
        <f t="shared" si="1"/>
        <v>0</v>
      </c>
    </row>
    <row r="128" spans="5:13">
      <c r="E128" s="9">
        <v>120</v>
      </c>
      <c r="F128" s="10"/>
      <c r="G128" s="11"/>
      <c r="H128" s="23"/>
      <c r="I128" s="23"/>
      <c r="J128" s="23"/>
      <c r="K128" s="23"/>
      <c r="L128" s="23"/>
      <c r="M128" s="25">
        <f t="shared" si="1"/>
        <v>0</v>
      </c>
    </row>
    <row r="129" spans="5:13">
      <c r="E129" s="9">
        <v>121</v>
      </c>
      <c r="F129" s="10"/>
      <c r="G129" s="11"/>
      <c r="H129" s="23"/>
      <c r="I129" s="23"/>
      <c r="J129" s="23"/>
      <c r="K129" s="23"/>
      <c r="L129" s="23"/>
      <c r="M129" s="25">
        <f t="shared" si="1"/>
        <v>0</v>
      </c>
    </row>
    <row r="130" spans="5:13">
      <c r="E130" s="9">
        <v>122</v>
      </c>
      <c r="F130" s="10"/>
      <c r="G130" s="11"/>
      <c r="H130" s="23"/>
      <c r="I130" s="23"/>
      <c r="J130" s="23"/>
      <c r="K130" s="23"/>
      <c r="L130" s="23"/>
      <c r="M130" s="25">
        <f t="shared" si="1"/>
        <v>0</v>
      </c>
    </row>
    <row r="131" spans="5:13">
      <c r="E131" s="9">
        <v>123</v>
      </c>
      <c r="F131" s="10"/>
      <c r="G131" s="11"/>
      <c r="H131" s="23"/>
      <c r="I131" s="23"/>
      <c r="J131" s="23"/>
      <c r="K131" s="23"/>
      <c r="L131" s="23"/>
      <c r="M131" s="25">
        <f t="shared" si="1"/>
        <v>0</v>
      </c>
    </row>
    <row r="132" spans="5:13">
      <c r="E132" s="9">
        <v>124</v>
      </c>
      <c r="F132" s="10"/>
      <c r="G132" s="11"/>
      <c r="H132" s="23"/>
      <c r="I132" s="23"/>
      <c r="J132" s="23"/>
      <c r="K132" s="23"/>
      <c r="L132" s="23"/>
      <c r="M132" s="25">
        <f t="shared" si="1"/>
        <v>0</v>
      </c>
    </row>
    <row r="133" spans="5:13">
      <c r="E133" s="9">
        <v>125</v>
      </c>
      <c r="F133" s="10"/>
      <c r="G133" s="11"/>
      <c r="H133" s="23"/>
      <c r="I133" s="23"/>
      <c r="J133" s="23"/>
      <c r="K133" s="23"/>
      <c r="L133" s="23"/>
      <c r="M133" s="25">
        <f t="shared" si="1"/>
        <v>0</v>
      </c>
    </row>
    <row r="134" spans="5:13">
      <c r="E134" s="9">
        <v>126</v>
      </c>
      <c r="F134" s="10"/>
      <c r="G134" s="11"/>
      <c r="H134" s="23"/>
      <c r="I134" s="23"/>
      <c r="J134" s="23"/>
      <c r="K134" s="23"/>
      <c r="L134" s="23"/>
      <c r="M134" s="25">
        <f t="shared" si="1"/>
        <v>0</v>
      </c>
    </row>
    <row r="135" spans="5:13">
      <c r="E135" s="9">
        <v>127</v>
      </c>
      <c r="F135" s="10"/>
      <c r="G135" s="11"/>
      <c r="H135" s="23"/>
      <c r="I135" s="23"/>
      <c r="J135" s="23"/>
      <c r="K135" s="23"/>
      <c r="L135" s="23"/>
      <c r="M135" s="25">
        <f t="shared" si="1"/>
        <v>0</v>
      </c>
    </row>
    <row r="136" spans="5:13">
      <c r="E136" s="9">
        <v>128</v>
      </c>
      <c r="F136" s="10"/>
      <c r="G136" s="11"/>
      <c r="H136" s="23"/>
      <c r="I136" s="23"/>
      <c r="J136" s="23"/>
      <c r="K136" s="23"/>
      <c r="L136" s="23"/>
      <c r="M136" s="25">
        <f t="shared" si="1"/>
        <v>0</v>
      </c>
    </row>
    <row r="137" spans="5:13">
      <c r="E137" s="9">
        <v>129</v>
      </c>
      <c r="F137" s="10"/>
      <c r="G137" s="11"/>
      <c r="H137" s="23"/>
      <c r="I137" s="23"/>
      <c r="J137" s="23"/>
      <c r="K137" s="23"/>
      <c r="L137" s="23"/>
      <c r="M137" s="25">
        <f t="shared" si="1"/>
        <v>0</v>
      </c>
    </row>
    <row r="138" spans="5:13">
      <c r="E138" s="9">
        <v>130</v>
      </c>
      <c r="F138" s="10"/>
      <c r="G138" s="11"/>
      <c r="H138" s="23"/>
      <c r="I138" s="23"/>
      <c r="J138" s="23"/>
      <c r="K138" s="23"/>
      <c r="L138" s="23"/>
      <c r="M138" s="25">
        <f t="shared" si="1"/>
        <v>0</v>
      </c>
    </row>
    <row r="139" spans="5:13">
      <c r="E139" s="9">
        <v>131</v>
      </c>
      <c r="F139" s="10"/>
      <c r="G139" s="11"/>
      <c r="H139" s="23"/>
      <c r="I139" s="23"/>
      <c r="J139" s="23"/>
      <c r="K139" s="23"/>
      <c r="L139" s="23"/>
      <c r="M139" s="25">
        <f t="shared" si="1"/>
        <v>0</v>
      </c>
    </row>
    <row r="140" spans="5:13">
      <c r="E140" s="9">
        <v>132</v>
      </c>
      <c r="F140" s="10"/>
      <c r="G140" s="11"/>
      <c r="H140" s="23"/>
      <c r="I140" s="23"/>
      <c r="J140" s="23"/>
      <c r="K140" s="23"/>
      <c r="L140" s="23"/>
      <c r="M140" s="25">
        <f t="shared" si="1"/>
        <v>0</v>
      </c>
    </row>
    <row r="141" spans="5:13">
      <c r="E141" s="9">
        <v>133</v>
      </c>
      <c r="F141" s="10"/>
      <c r="G141" s="11"/>
      <c r="H141" s="23"/>
      <c r="I141" s="23"/>
      <c r="J141" s="23"/>
      <c r="K141" s="23"/>
      <c r="L141" s="23"/>
      <c r="M141" s="25">
        <f t="shared" si="1"/>
        <v>0</v>
      </c>
    </row>
    <row r="142" spans="5:13">
      <c r="E142" s="9">
        <v>134</v>
      </c>
      <c r="F142" s="10"/>
      <c r="G142" s="11"/>
      <c r="H142" s="23"/>
      <c r="I142" s="23"/>
      <c r="J142" s="23"/>
      <c r="K142" s="23"/>
      <c r="L142" s="23"/>
      <c r="M142" s="25">
        <f t="shared" si="1"/>
        <v>0</v>
      </c>
    </row>
    <row r="143" spans="5:13">
      <c r="E143" s="9">
        <v>135</v>
      </c>
      <c r="F143" s="10"/>
      <c r="G143" s="11"/>
      <c r="H143" s="23"/>
      <c r="I143" s="23"/>
      <c r="J143" s="23"/>
      <c r="K143" s="23"/>
      <c r="L143" s="23"/>
      <c r="M143" s="25">
        <f t="shared" ref="M143:M206" si="2">(H143+I143+J143+K143+L143)</f>
        <v>0</v>
      </c>
    </row>
    <row r="144" spans="5:13">
      <c r="E144" s="9">
        <v>136</v>
      </c>
      <c r="F144" s="10"/>
      <c r="G144" s="11"/>
      <c r="H144" s="23"/>
      <c r="I144" s="23"/>
      <c r="J144" s="23"/>
      <c r="K144" s="23"/>
      <c r="L144" s="23"/>
      <c r="M144" s="25">
        <f t="shared" si="2"/>
        <v>0</v>
      </c>
    </row>
    <row r="145" spans="5:13">
      <c r="E145" s="9">
        <v>137</v>
      </c>
      <c r="F145" s="10"/>
      <c r="G145" s="11"/>
      <c r="H145" s="23"/>
      <c r="I145" s="23"/>
      <c r="J145" s="23"/>
      <c r="K145" s="23"/>
      <c r="L145" s="23"/>
      <c r="M145" s="25">
        <f t="shared" si="2"/>
        <v>0</v>
      </c>
    </row>
    <row r="146" spans="5:13">
      <c r="E146" s="9">
        <v>138</v>
      </c>
      <c r="F146" s="10"/>
      <c r="G146" s="11"/>
      <c r="H146" s="23"/>
      <c r="I146" s="23"/>
      <c r="J146" s="23"/>
      <c r="K146" s="23"/>
      <c r="L146" s="23"/>
      <c r="M146" s="25">
        <f t="shared" si="2"/>
        <v>0</v>
      </c>
    </row>
    <row r="147" spans="5:13">
      <c r="E147" s="9">
        <v>139</v>
      </c>
      <c r="F147" s="10"/>
      <c r="G147" s="11"/>
      <c r="H147" s="23"/>
      <c r="I147" s="23"/>
      <c r="J147" s="23"/>
      <c r="K147" s="23"/>
      <c r="L147" s="23"/>
      <c r="M147" s="25">
        <f t="shared" si="2"/>
        <v>0</v>
      </c>
    </row>
    <row r="148" spans="5:13">
      <c r="E148" s="9">
        <v>140</v>
      </c>
      <c r="F148" s="10"/>
      <c r="G148" s="11"/>
      <c r="H148" s="23"/>
      <c r="I148" s="23"/>
      <c r="J148" s="23"/>
      <c r="K148" s="23"/>
      <c r="L148" s="23"/>
      <c r="M148" s="25">
        <f t="shared" si="2"/>
        <v>0</v>
      </c>
    </row>
    <row r="149" spans="5:13">
      <c r="E149" s="9">
        <v>141</v>
      </c>
      <c r="F149" s="10"/>
      <c r="G149" s="11"/>
      <c r="H149" s="23"/>
      <c r="I149" s="23"/>
      <c r="J149" s="23"/>
      <c r="K149" s="23"/>
      <c r="L149" s="23"/>
      <c r="M149" s="25">
        <f t="shared" si="2"/>
        <v>0</v>
      </c>
    </row>
    <row r="150" spans="5:13">
      <c r="E150" s="9">
        <v>142</v>
      </c>
      <c r="F150" s="10"/>
      <c r="G150" s="11"/>
      <c r="H150" s="23"/>
      <c r="I150" s="23"/>
      <c r="J150" s="23"/>
      <c r="K150" s="23"/>
      <c r="L150" s="23"/>
      <c r="M150" s="25">
        <f t="shared" si="2"/>
        <v>0</v>
      </c>
    </row>
    <row r="151" spans="5:13">
      <c r="E151" s="9">
        <v>143</v>
      </c>
      <c r="F151" s="10"/>
      <c r="G151" s="11"/>
      <c r="H151" s="23"/>
      <c r="I151" s="23"/>
      <c r="J151" s="23"/>
      <c r="K151" s="23"/>
      <c r="L151" s="23"/>
      <c r="M151" s="25">
        <f t="shared" si="2"/>
        <v>0</v>
      </c>
    </row>
    <row r="152" spans="5:13">
      <c r="E152" s="9">
        <v>144</v>
      </c>
      <c r="F152" s="10"/>
      <c r="G152" s="11"/>
      <c r="H152" s="23"/>
      <c r="I152" s="23"/>
      <c r="J152" s="23"/>
      <c r="K152" s="23"/>
      <c r="L152" s="23"/>
      <c r="M152" s="25">
        <f t="shared" si="2"/>
        <v>0</v>
      </c>
    </row>
    <row r="153" spans="5:13">
      <c r="E153" s="9">
        <v>145</v>
      </c>
      <c r="F153" s="10"/>
      <c r="G153" s="11"/>
      <c r="H153" s="23"/>
      <c r="I153" s="23"/>
      <c r="J153" s="23"/>
      <c r="K153" s="23"/>
      <c r="L153" s="23"/>
      <c r="M153" s="25">
        <f t="shared" si="2"/>
        <v>0</v>
      </c>
    </row>
    <row r="154" spans="5:13">
      <c r="E154" s="9">
        <v>146</v>
      </c>
      <c r="F154" s="10"/>
      <c r="G154" s="11"/>
      <c r="H154" s="23"/>
      <c r="I154" s="23"/>
      <c r="J154" s="23"/>
      <c r="K154" s="23"/>
      <c r="L154" s="23"/>
      <c r="M154" s="25">
        <f t="shared" si="2"/>
        <v>0</v>
      </c>
    </row>
    <row r="155" spans="5:13">
      <c r="E155" s="9">
        <v>147</v>
      </c>
      <c r="F155" s="10"/>
      <c r="G155" s="11"/>
      <c r="H155" s="23"/>
      <c r="I155" s="23"/>
      <c r="J155" s="23"/>
      <c r="K155" s="23"/>
      <c r="L155" s="23"/>
      <c r="M155" s="25">
        <f t="shared" si="2"/>
        <v>0</v>
      </c>
    </row>
    <row r="156" spans="5:13">
      <c r="E156" s="9">
        <v>148</v>
      </c>
      <c r="F156" s="10"/>
      <c r="G156" s="11"/>
      <c r="H156" s="23"/>
      <c r="I156" s="23"/>
      <c r="J156" s="23"/>
      <c r="K156" s="23"/>
      <c r="L156" s="23"/>
      <c r="M156" s="25">
        <f t="shared" si="2"/>
        <v>0</v>
      </c>
    </row>
    <row r="157" spans="5:13">
      <c r="E157" s="9">
        <v>149</v>
      </c>
      <c r="F157" s="10"/>
      <c r="G157" s="11"/>
      <c r="H157" s="23"/>
      <c r="I157" s="23"/>
      <c r="J157" s="23"/>
      <c r="K157" s="23"/>
      <c r="L157" s="23"/>
      <c r="M157" s="25">
        <f t="shared" si="2"/>
        <v>0</v>
      </c>
    </row>
    <row r="158" spans="5:13">
      <c r="E158" s="9">
        <v>150</v>
      </c>
      <c r="F158" s="10"/>
      <c r="G158" s="11"/>
      <c r="H158" s="23"/>
      <c r="I158" s="23"/>
      <c r="J158" s="23"/>
      <c r="K158" s="23"/>
      <c r="L158" s="23"/>
      <c r="M158" s="25">
        <f t="shared" si="2"/>
        <v>0</v>
      </c>
    </row>
    <row r="159" spans="5:13">
      <c r="E159" s="9">
        <v>151</v>
      </c>
      <c r="F159" s="10"/>
      <c r="G159" s="11"/>
      <c r="H159" s="23"/>
      <c r="I159" s="23"/>
      <c r="J159" s="23"/>
      <c r="K159" s="23"/>
      <c r="L159" s="23"/>
      <c r="M159" s="25">
        <f t="shared" si="2"/>
        <v>0</v>
      </c>
    </row>
    <row r="160" spans="5:13">
      <c r="E160" s="9">
        <v>152</v>
      </c>
      <c r="F160" s="10"/>
      <c r="G160" s="11"/>
      <c r="H160" s="23"/>
      <c r="I160" s="23"/>
      <c r="J160" s="23"/>
      <c r="K160" s="23"/>
      <c r="L160" s="23"/>
      <c r="M160" s="25">
        <f t="shared" si="2"/>
        <v>0</v>
      </c>
    </row>
    <row r="161" spans="5:13">
      <c r="E161" s="9">
        <v>153</v>
      </c>
      <c r="F161" s="10"/>
      <c r="G161" s="11"/>
      <c r="H161" s="23"/>
      <c r="I161" s="23"/>
      <c r="J161" s="23"/>
      <c r="K161" s="23"/>
      <c r="L161" s="23"/>
      <c r="M161" s="25">
        <f t="shared" si="2"/>
        <v>0</v>
      </c>
    </row>
    <row r="162" spans="5:13">
      <c r="E162" s="9">
        <v>154</v>
      </c>
      <c r="F162" s="10"/>
      <c r="G162" s="11"/>
      <c r="H162" s="23"/>
      <c r="I162" s="23"/>
      <c r="J162" s="23"/>
      <c r="K162" s="23"/>
      <c r="L162" s="23"/>
      <c r="M162" s="25">
        <f t="shared" si="2"/>
        <v>0</v>
      </c>
    </row>
    <row r="163" spans="5:13">
      <c r="E163" s="9">
        <v>155</v>
      </c>
      <c r="F163" s="10"/>
      <c r="G163" s="11"/>
      <c r="H163" s="23"/>
      <c r="I163" s="23"/>
      <c r="J163" s="23"/>
      <c r="K163" s="23"/>
      <c r="L163" s="23"/>
      <c r="M163" s="25">
        <f t="shared" si="2"/>
        <v>0</v>
      </c>
    </row>
    <row r="164" spans="5:13">
      <c r="E164" s="9">
        <v>156</v>
      </c>
      <c r="F164" s="10"/>
      <c r="G164" s="11"/>
      <c r="H164" s="23"/>
      <c r="I164" s="23"/>
      <c r="J164" s="23"/>
      <c r="K164" s="23"/>
      <c r="L164" s="23"/>
      <c r="M164" s="25">
        <f t="shared" si="2"/>
        <v>0</v>
      </c>
    </row>
    <row r="165" spans="5:13">
      <c r="E165" s="9">
        <v>157</v>
      </c>
      <c r="F165" s="10"/>
      <c r="G165" s="11"/>
      <c r="H165" s="23"/>
      <c r="I165" s="23"/>
      <c r="J165" s="23"/>
      <c r="K165" s="23"/>
      <c r="L165" s="23"/>
      <c r="M165" s="25">
        <f t="shared" si="2"/>
        <v>0</v>
      </c>
    </row>
    <row r="166" spans="5:13">
      <c r="E166" s="9">
        <v>158</v>
      </c>
      <c r="F166" s="10"/>
      <c r="G166" s="11"/>
      <c r="H166" s="23"/>
      <c r="I166" s="23"/>
      <c r="J166" s="23"/>
      <c r="K166" s="23"/>
      <c r="L166" s="23"/>
      <c r="M166" s="25">
        <f t="shared" si="2"/>
        <v>0</v>
      </c>
    </row>
    <row r="167" spans="5:13">
      <c r="E167" s="9">
        <v>159</v>
      </c>
      <c r="F167" s="10"/>
      <c r="G167" s="11"/>
      <c r="H167" s="23"/>
      <c r="I167" s="23"/>
      <c r="J167" s="23"/>
      <c r="K167" s="23"/>
      <c r="L167" s="23"/>
      <c r="M167" s="25">
        <f t="shared" si="2"/>
        <v>0</v>
      </c>
    </row>
    <row r="168" spans="5:13">
      <c r="E168" s="9">
        <v>160</v>
      </c>
      <c r="F168" s="10"/>
      <c r="G168" s="11"/>
      <c r="H168" s="23"/>
      <c r="I168" s="23"/>
      <c r="J168" s="23"/>
      <c r="K168" s="23"/>
      <c r="L168" s="23"/>
      <c r="M168" s="25">
        <f t="shared" si="2"/>
        <v>0</v>
      </c>
    </row>
    <row r="169" spans="5:13">
      <c r="E169" s="9">
        <v>161</v>
      </c>
      <c r="F169" s="10"/>
      <c r="G169" s="11"/>
      <c r="H169" s="23"/>
      <c r="I169" s="23"/>
      <c r="J169" s="23"/>
      <c r="K169" s="23"/>
      <c r="L169" s="23"/>
      <c r="M169" s="25">
        <f t="shared" si="2"/>
        <v>0</v>
      </c>
    </row>
    <row r="170" spans="5:13">
      <c r="E170" s="9">
        <v>162</v>
      </c>
      <c r="F170" s="10"/>
      <c r="G170" s="11"/>
      <c r="H170" s="23"/>
      <c r="I170" s="23"/>
      <c r="J170" s="23"/>
      <c r="K170" s="23"/>
      <c r="L170" s="23"/>
      <c r="M170" s="25">
        <f t="shared" si="2"/>
        <v>0</v>
      </c>
    </row>
    <row r="171" spans="5:13">
      <c r="E171" s="9">
        <v>163</v>
      </c>
      <c r="F171" s="10"/>
      <c r="G171" s="11"/>
      <c r="H171" s="23"/>
      <c r="I171" s="23"/>
      <c r="J171" s="23"/>
      <c r="K171" s="23"/>
      <c r="L171" s="23"/>
      <c r="M171" s="25">
        <f t="shared" si="2"/>
        <v>0</v>
      </c>
    </row>
    <row r="172" spans="5:13">
      <c r="E172" s="9">
        <v>164</v>
      </c>
      <c r="F172" s="10"/>
      <c r="G172" s="11"/>
      <c r="H172" s="23"/>
      <c r="I172" s="23"/>
      <c r="J172" s="23"/>
      <c r="K172" s="23"/>
      <c r="L172" s="23"/>
      <c r="M172" s="25">
        <f t="shared" si="2"/>
        <v>0</v>
      </c>
    </row>
    <row r="173" spans="5:13">
      <c r="E173" s="9">
        <v>165</v>
      </c>
      <c r="F173" s="10"/>
      <c r="G173" s="11"/>
      <c r="H173" s="23"/>
      <c r="I173" s="23"/>
      <c r="J173" s="23"/>
      <c r="K173" s="23"/>
      <c r="L173" s="23"/>
      <c r="M173" s="25">
        <f t="shared" si="2"/>
        <v>0</v>
      </c>
    </row>
    <row r="174" spans="5:13">
      <c r="E174" s="9">
        <v>166</v>
      </c>
      <c r="F174" s="10"/>
      <c r="G174" s="11"/>
      <c r="H174" s="23"/>
      <c r="I174" s="23"/>
      <c r="J174" s="23"/>
      <c r="K174" s="23"/>
      <c r="L174" s="23"/>
      <c r="M174" s="25">
        <f t="shared" si="2"/>
        <v>0</v>
      </c>
    </row>
    <row r="175" spans="5:13">
      <c r="E175" s="9">
        <v>167</v>
      </c>
      <c r="F175" s="10"/>
      <c r="G175" s="11"/>
      <c r="H175" s="23"/>
      <c r="I175" s="23"/>
      <c r="J175" s="23"/>
      <c r="K175" s="23"/>
      <c r="L175" s="23"/>
      <c r="M175" s="25">
        <f t="shared" si="2"/>
        <v>0</v>
      </c>
    </row>
    <row r="176" spans="5:13">
      <c r="E176" s="9">
        <v>168</v>
      </c>
      <c r="F176" s="10"/>
      <c r="G176" s="11"/>
      <c r="H176" s="23"/>
      <c r="I176" s="23"/>
      <c r="J176" s="23"/>
      <c r="K176" s="23"/>
      <c r="L176" s="23"/>
      <c r="M176" s="25">
        <f t="shared" si="2"/>
        <v>0</v>
      </c>
    </row>
    <row r="177" spans="5:13">
      <c r="E177" s="9">
        <v>169</v>
      </c>
      <c r="F177" s="10"/>
      <c r="G177" s="11"/>
      <c r="H177" s="23"/>
      <c r="I177" s="23"/>
      <c r="J177" s="23"/>
      <c r="K177" s="23"/>
      <c r="L177" s="23"/>
      <c r="M177" s="25">
        <f t="shared" si="2"/>
        <v>0</v>
      </c>
    </row>
    <row r="178" spans="5:13">
      <c r="E178" s="9">
        <v>170</v>
      </c>
      <c r="F178" s="10"/>
      <c r="G178" s="11"/>
      <c r="H178" s="23"/>
      <c r="I178" s="23"/>
      <c r="J178" s="23"/>
      <c r="K178" s="23"/>
      <c r="L178" s="23"/>
      <c r="M178" s="25">
        <f t="shared" si="2"/>
        <v>0</v>
      </c>
    </row>
    <row r="179" spans="5:13">
      <c r="E179" s="9">
        <v>171</v>
      </c>
      <c r="F179" s="10"/>
      <c r="G179" s="11"/>
      <c r="H179" s="23"/>
      <c r="I179" s="23"/>
      <c r="J179" s="23"/>
      <c r="K179" s="23"/>
      <c r="L179" s="23"/>
      <c r="M179" s="25">
        <f t="shared" si="2"/>
        <v>0</v>
      </c>
    </row>
    <row r="180" spans="5:13">
      <c r="E180" s="9">
        <v>172</v>
      </c>
      <c r="F180" s="10"/>
      <c r="G180" s="11"/>
      <c r="H180" s="23"/>
      <c r="I180" s="23"/>
      <c r="J180" s="23"/>
      <c r="K180" s="23"/>
      <c r="L180" s="23"/>
      <c r="M180" s="25">
        <f t="shared" si="2"/>
        <v>0</v>
      </c>
    </row>
    <row r="181" spans="5:13">
      <c r="E181" s="9">
        <v>173</v>
      </c>
      <c r="F181" s="10"/>
      <c r="G181" s="11"/>
      <c r="H181" s="23"/>
      <c r="I181" s="23"/>
      <c r="J181" s="23"/>
      <c r="K181" s="23"/>
      <c r="L181" s="23"/>
      <c r="M181" s="25">
        <f t="shared" si="2"/>
        <v>0</v>
      </c>
    </row>
    <row r="182" spans="5:13">
      <c r="E182" s="9">
        <v>174</v>
      </c>
      <c r="F182" s="10"/>
      <c r="G182" s="11"/>
      <c r="H182" s="23"/>
      <c r="I182" s="23"/>
      <c r="J182" s="23"/>
      <c r="K182" s="23"/>
      <c r="L182" s="23"/>
      <c r="M182" s="25">
        <f t="shared" si="2"/>
        <v>0</v>
      </c>
    </row>
    <row r="183" spans="5:13">
      <c r="E183" s="9">
        <v>175</v>
      </c>
      <c r="F183" s="10"/>
      <c r="G183" s="11"/>
      <c r="H183" s="23"/>
      <c r="I183" s="23"/>
      <c r="J183" s="23"/>
      <c r="K183" s="23"/>
      <c r="L183" s="23"/>
      <c r="M183" s="25">
        <f t="shared" si="2"/>
        <v>0</v>
      </c>
    </row>
    <row r="184" spans="5:13">
      <c r="E184" s="9">
        <v>176</v>
      </c>
      <c r="F184" s="10"/>
      <c r="G184" s="11"/>
      <c r="H184" s="23"/>
      <c r="I184" s="23"/>
      <c r="J184" s="23"/>
      <c r="K184" s="23"/>
      <c r="L184" s="23"/>
      <c r="M184" s="25">
        <f t="shared" si="2"/>
        <v>0</v>
      </c>
    </row>
    <row r="185" spans="5:13">
      <c r="E185" s="9">
        <v>177</v>
      </c>
      <c r="F185" s="10"/>
      <c r="G185" s="11"/>
      <c r="H185" s="23"/>
      <c r="I185" s="23"/>
      <c r="J185" s="23"/>
      <c r="K185" s="23"/>
      <c r="L185" s="23"/>
      <c r="M185" s="25">
        <f t="shared" si="2"/>
        <v>0</v>
      </c>
    </row>
    <row r="186" spans="5:13">
      <c r="E186" s="9">
        <v>178</v>
      </c>
      <c r="F186" s="10"/>
      <c r="G186" s="11"/>
      <c r="H186" s="23"/>
      <c r="I186" s="23"/>
      <c r="J186" s="23"/>
      <c r="K186" s="23"/>
      <c r="L186" s="23"/>
      <c r="M186" s="25">
        <f t="shared" si="2"/>
        <v>0</v>
      </c>
    </row>
    <row r="187" spans="5:13">
      <c r="E187" s="9">
        <v>179</v>
      </c>
      <c r="F187" s="10"/>
      <c r="G187" s="11"/>
      <c r="H187" s="23"/>
      <c r="I187" s="23"/>
      <c r="J187" s="23"/>
      <c r="K187" s="23"/>
      <c r="L187" s="23"/>
      <c r="M187" s="25">
        <f t="shared" si="2"/>
        <v>0</v>
      </c>
    </row>
    <row r="188" spans="5:13">
      <c r="E188" s="9">
        <v>180</v>
      </c>
      <c r="F188" s="10"/>
      <c r="G188" s="11"/>
      <c r="H188" s="23"/>
      <c r="I188" s="23"/>
      <c r="J188" s="23"/>
      <c r="K188" s="23"/>
      <c r="L188" s="23"/>
      <c r="M188" s="25">
        <f t="shared" si="2"/>
        <v>0</v>
      </c>
    </row>
    <row r="189" spans="5:13">
      <c r="E189" s="9">
        <v>181</v>
      </c>
      <c r="F189" s="10"/>
      <c r="G189" s="11"/>
      <c r="H189" s="23"/>
      <c r="I189" s="23"/>
      <c r="J189" s="23"/>
      <c r="K189" s="23"/>
      <c r="L189" s="23"/>
      <c r="M189" s="25">
        <f t="shared" si="2"/>
        <v>0</v>
      </c>
    </row>
    <row r="190" spans="5:13">
      <c r="E190" s="9">
        <v>182</v>
      </c>
      <c r="F190" s="10"/>
      <c r="G190" s="11"/>
      <c r="H190" s="23"/>
      <c r="I190" s="23"/>
      <c r="J190" s="23"/>
      <c r="K190" s="23"/>
      <c r="L190" s="23"/>
      <c r="M190" s="25">
        <f t="shared" si="2"/>
        <v>0</v>
      </c>
    </row>
    <row r="191" spans="5:13">
      <c r="E191" s="9">
        <v>183</v>
      </c>
      <c r="F191" s="10"/>
      <c r="G191" s="11"/>
      <c r="H191" s="23"/>
      <c r="I191" s="23"/>
      <c r="J191" s="23"/>
      <c r="K191" s="23"/>
      <c r="L191" s="23"/>
      <c r="M191" s="25">
        <f t="shared" si="2"/>
        <v>0</v>
      </c>
    </row>
    <row r="192" spans="5:13">
      <c r="E192" s="9">
        <v>184</v>
      </c>
      <c r="F192" s="10"/>
      <c r="G192" s="11"/>
      <c r="H192" s="23"/>
      <c r="I192" s="23"/>
      <c r="J192" s="23"/>
      <c r="K192" s="23"/>
      <c r="L192" s="23"/>
      <c r="M192" s="25">
        <f t="shared" si="2"/>
        <v>0</v>
      </c>
    </row>
    <row r="193" spans="5:13">
      <c r="E193" s="9">
        <v>185</v>
      </c>
      <c r="F193" s="10"/>
      <c r="G193" s="11"/>
      <c r="H193" s="23"/>
      <c r="I193" s="23"/>
      <c r="J193" s="23"/>
      <c r="K193" s="23"/>
      <c r="L193" s="23"/>
      <c r="M193" s="25">
        <f t="shared" si="2"/>
        <v>0</v>
      </c>
    </row>
    <row r="194" spans="5:13">
      <c r="E194" s="9">
        <v>186</v>
      </c>
      <c r="F194" s="10"/>
      <c r="G194" s="11"/>
      <c r="H194" s="23"/>
      <c r="I194" s="23"/>
      <c r="J194" s="23"/>
      <c r="K194" s="23"/>
      <c r="L194" s="23"/>
      <c r="M194" s="25">
        <f t="shared" si="2"/>
        <v>0</v>
      </c>
    </row>
    <row r="195" spans="5:13">
      <c r="E195" s="9">
        <v>187</v>
      </c>
      <c r="F195" s="10"/>
      <c r="G195" s="11"/>
      <c r="H195" s="23"/>
      <c r="I195" s="23"/>
      <c r="J195" s="23"/>
      <c r="K195" s="23"/>
      <c r="L195" s="23"/>
      <c r="M195" s="25">
        <f t="shared" si="2"/>
        <v>0</v>
      </c>
    </row>
    <row r="196" spans="5:13">
      <c r="E196" s="9">
        <v>188</v>
      </c>
      <c r="F196" s="10"/>
      <c r="G196" s="11"/>
      <c r="H196" s="23"/>
      <c r="I196" s="23"/>
      <c r="J196" s="23"/>
      <c r="K196" s="23"/>
      <c r="L196" s="23"/>
      <c r="M196" s="25">
        <f t="shared" si="2"/>
        <v>0</v>
      </c>
    </row>
    <row r="197" spans="5:13">
      <c r="E197" s="9">
        <v>189</v>
      </c>
      <c r="F197" s="10"/>
      <c r="G197" s="11"/>
      <c r="H197" s="23"/>
      <c r="I197" s="23"/>
      <c r="J197" s="23"/>
      <c r="K197" s="23"/>
      <c r="L197" s="23"/>
      <c r="M197" s="25">
        <f t="shared" si="2"/>
        <v>0</v>
      </c>
    </row>
    <row r="198" spans="5:13">
      <c r="E198" s="9">
        <v>190</v>
      </c>
      <c r="F198" s="10"/>
      <c r="G198" s="11"/>
      <c r="H198" s="23"/>
      <c r="I198" s="23"/>
      <c r="J198" s="23"/>
      <c r="K198" s="23"/>
      <c r="L198" s="23"/>
      <c r="M198" s="25">
        <f t="shared" si="2"/>
        <v>0</v>
      </c>
    </row>
    <row r="199" spans="5:13">
      <c r="E199" s="9">
        <v>191</v>
      </c>
      <c r="F199" s="10"/>
      <c r="G199" s="11"/>
      <c r="H199" s="23"/>
      <c r="I199" s="23"/>
      <c r="J199" s="23"/>
      <c r="K199" s="23"/>
      <c r="L199" s="23"/>
      <c r="M199" s="25">
        <f t="shared" si="2"/>
        <v>0</v>
      </c>
    </row>
    <row r="200" spans="5:13">
      <c r="E200" s="9">
        <v>192</v>
      </c>
      <c r="F200" s="10"/>
      <c r="G200" s="11"/>
      <c r="H200" s="23"/>
      <c r="I200" s="23"/>
      <c r="J200" s="23"/>
      <c r="K200" s="23"/>
      <c r="L200" s="23"/>
      <c r="M200" s="25">
        <f t="shared" si="2"/>
        <v>0</v>
      </c>
    </row>
    <row r="201" spans="5:13">
      <c r="E201" s="9">
        <v>193</v>
      </c>
      <c r="F201" s="10"/>
      <c r="G201" s="11"/>
      <c r="H201" s="23"/>
      <c r="I201" s="23"/>
      <c r="J201" s="23"/>
      <c r="K201" s="23"/>
      <c r="L201" s="23"/>
      <c r="M201" s="25">
        <f t="shared" si="2"/>
        <v>0</v>
      </c>
    </row>
    <row r="202" spans="5:13">
      <c r="E202" s="9">
        <v>194</v>
      </c>
      <c r="F202" s="10"/>
      <c r="G202" s="11"/>
      <c r="H202" s="23"/>
      <c r="I202" s="23"/>
      <c r="J202" s="23"/>
      <c r="K202" s="23"/>
      <c r="L202" s="23"/>
      <c r="M202" s="25">
        <f t="shared" si="2"/>
        <v>0</v>
      </c>
    </row>
    <row r="203" spans="5:13">
      <c r="E203" s="9">
        <v>195</v>
      </c>
      <c r="F203" s="10"/>
      <c r="G203" s="11"/>
      <c r="H203" s="23"/>
      <c r="I203" s="23"/>
      <c r="J203" s="23"/>
      <c r="K203" s="23"/>
      <c r="L203" s="23"/>
      <c r="M203" s="25">
        <f t="shared" si="2"/>
        <v>0</v>
      </c>
    </row>
    <row r="204" spans="5:13">
      <c r="E204" s="9">
        <v>196</v>
      </c>
      <c r="F204" s="10"/>
      <c r="G204" s="11"/>
      <c r="H204" s="23"/>
      <c r="I204" s="23"/>
      <c r="J204" s="23"/>
      <c r="K204" s="23"/>
      <c r="L204" s="23"/>
      <c r="M204" s="25">
        <f t="shared" si="2"/>
        <v>0</v>
      </c>
    </row>
    <row r="205" spans="5:13">
      <c r="E205" s="9">
        <v>197</v>
      </c>
      <c r="F205" s="10"/>
      <c r="G205" s="11"/>
      <c r="H205" s="23"/>
      <c r="I205" s="23"/>
      <c r="J205" s="23"/>
      <c r="K205" s="23"/>
      <c r="L205" s="23"/>
      <c r="M205" s="25">
        <f t="shared" si="2"/>
        <v>0</v>
      </c>
    </row>
    <row r="206" spans="5:13">
      <c r="E206" s="9">
        <v>198</v>
      </c>
      <c r="F206" s="10"/>
      <c r="G206" s="11"/>
      <c r="H206" s="23"/>
      <c r="I206" s="23"/>
      <c r="J206" s="23"/>
      <c r="K206" s="23"/>
      <c r="L206" s="23"/>
      <c r="M206" s="25">
        <f t="shared" si="2"/>
        <v>0</v>
      </c>
    </row>
    <row r="207" spans="5:13">
      <c r="E207" s="9">
        <v>199</v>
      </c>
      <c r="F207" s="10"/>
      <c r="G207" s="11"/>
      <c r="H207" s="23"/>
      <c r="I207" s="23"/>
      <c r="J207" s="23"/>
      <c r="K207" s="23"/>
      <c r="L207" s="23"/>
      <c r="M207" s="25">
        <f t="shared" ref="M207:M257" si="3">(H207+I207+J207+K207+L207)</f>
        <v>0</v>
      </c>
    </row>
    <row r="208" spans="5:13">
      <c r="E208" s="9">
        <v>200</v>
      </c>
      <c r="F208" s="10"/>
      <c r="G208" s="11"/>
      <c r="H208" s="23"/>
      <c r="I208" s="23"/>
      <c r="J208" s="23"/>
      <c r="K208" s="23"/>
      <c r="L208" s="23"/>
      <c r="M208" s="25">
        <f t="shared" si="3"/>
        <v>0</v>
      </c>
    </row>
    <row r="209" spans="5:13">
      <c r="E209" s="9">
        <v>201</v>
      </c>
      <c r="F209" s="10"/>
      <c r="G209" s="11"/>
      <c r="H209" s="23"/>
      <c r="I209" s="23"/>
      <c r="J209" s="23"/>
      <c r="K209" s="23"/>
      <c r="L209" s="23"/>
      <c r="M209" s="25">
        <f t="shared" si="3"/>
        <v>0</v>
      </c>
    </row>
    <row r="210" spans="5:13">
      <c r="E210" s="9">
        <v>202</v>
      </c>
      <c r="F210" s="10"/>
      <c r="G210" s="11"/>
      <c r="H210" s="23"/>
      <c r="I210" s="23"/>
      <c r="J210" s="23"/>
      <c r="K210" s="23"/>
      <c r="L210" s="23"/>
      <c r="M210" s="25">
        <f t="shared" si="3"/>
        <v>0</v>
      </c>
    </row>
    <row r="211" spans="5:13">
      <c r="E211" s="9">
        <v>203</v>
      </c>
      <c r="F211" s="10"/>
      <c r="G211" s="11"/>
      <c r="H211" s="23"/>
      <c r="I211" s="23"/>
      <c r="J211" s="23"/>
      <c r="K211" s="23"/>
      <c r="L211" s="23"/>
      <c r="M211" s="25">
        <f t="shared" si="3"/>
        <v>0</v>
      </c>
    </row>
    <row r="212" spans="5:13">
      <c r="E212" s="9">
        <v>204</v>
      </c>
      <c r="F212" s="10"/>
      <c r="G212" s="11"/>
      <c r="H212" s="23"/>
      <c r="I212" s="23"/>
      <c r="J212" s="23"/>
      <c r="K212" s="23"/>
      <c r="L212" s="23"/>
      <c r="M212" s="25">
        <f t="shared" si="3"/>
        <v>0</v>
      </c>
    </row>
    <row r="213" spans="5:13">
      <c r="E213" s="9">
        <v>205</v>
      </c>
      <c r="F213" s="10"/>
      <c r="G213" s="11"/>
      <c r="H213" s="23"/>
      <c r="I213" s="23"/>
      <c r="J213" s="23"/>
      <c r="K213" s="23"/>
      <c r="L213" s="23"/>
      <c r="M213" s="25">
        <f t="shared" si="3"/>
        <v>0</v>
      </c>
    </row>
    <row r="214" spans="5:13">
      <c r="E214" s="9">
        <v>206</v>
      </c>
      <c r="F214" s="10"/>
      <c r="G214" s="11"/>
      <c r="H214" s="23"/>
      <c r="I214" s="23"/>
      <c r="J214" s="23"/>
      <c r="K214" s="23"/>
      <c r="L214" s="23"/>
      <c r="M214" s="25">
        <f t="shared" si="3"/>
        <v>0</v>
      </c>
    </row>
    <row r="215" spans="5:13">
      <c r="E215" s="9">
        <v>207</v>
      </c>
      <c r="F215" s="10"/>
      <c r="G215" s="11"/>
      <c r="H215" s="23"/>
      <c r="I215" s="23"/>
      <c r="J215" s="23"/>
      <c r="K215" s="23"/>
      <c r="L215" s="23"/>
      <c r="M215" s="25">
        <f t="shared" si="3"/>
        <v>0</v>
      </c>
    </row>
    <row r="216" spans="5:13">
      <c r="E216" s="9">
        <v>208</v>
      </c>
      <c r="F216" s="10"/>
      <c r="G216" s="11"/>
      <c r="H216" s="23"/>
      <c r="I216" s="23"/>
      <c r="J216" s="23"/>
      <c r="K216" s="23"/>
      <c r="L216" s="23"/>
      <c r="M216" s="25">
        <f t="shared" si="3"/>
        <v>0</v>
      </c>
    </row>
    <row r="217" spans="5:13">
      <c r="E217" s="9">
        <v>209</v>
      </c>
      <c r="F217" s="10"/>
      <c r="G217" s="11"/>
      <c r="H217" s="23"/>
      <c r="I217" s="23"/>
      <c r="J217" s="23"/>
      <c r="K217" s="23"/>
      <c r="L217" s="23"/>
      <c r="M217" s="25">
        <f t="shared" si="3"/>
        <v>0</v>
      </c>
    </row>
    <row r="218" spans="5:13">
      <c r="E218" s="9">
        <v>210</v>
      </c>
      <c r="F218" s="10"/>
      <c r="G218" s="11"/>
      <c r="H218" s="23"/>
      <c r="I218" s="23"/>
      <c r="J218" s="23"/>
      <c r="K218" s="23"/>
      <c r="L218" s="23"/>
      <c r="M218" s="25">
        <f t="shared" si="3"/>
        <v>0</v>
      </c>
    </row>
    <row r="219" spans="5:13">
      <c r="E219" s="9">
        <v>211</v>
      </c>
      <c r="F219" s="10"/>
      <c r="G219" s="11"/>
      <c r="H219" s="23"/>
      <c r="I219" s="23"/>
      <c r="J219" s="23"/>
      <c r="K219" s="23"/>
      <c r="L219" s="23"/>
      <c r="M219" s="25">
        <f t="shared" si="3"/>
        <v>0</v>
      </c>
    </row>
    <row r="220" spans="5:13">
      <c r="E220" s="9">
        <v>212</v>
      </c>
      <c r="F220" s="10"/>
      <c r="G220" s="11"/>
      <c r="H220" s="23"/>
      <c r="I220" s="23"/>
      <c r="J220" s="23"/>
      <c r="K220" s="23"/>
      <c r="L220" s="23"/>
      <c r="M220" s="25">
        <f t="shared" si="3"/>
        <v>0</v>
      </c>
    </row>
    <row r="221" spans="5:13">
      <c r="E221" s="9">
        <v>213</v>
      </c>
      <c r="F221" s="10"/>
      <c r="G221" s="11"/>
      <c r="H221" s="23"/>
      <c r="I221" s="23"/>
      <c r="J221" s="23"/>
      <c r="K221" s="23"/>
      <c r="L221" s="23"/>
      <c r="M221" s="25">
        <f t="shared" si="3"/>
        <v>0</v>
      </c>
    </row>
    <row r="222" spans="5:13">
      <c r="E222" s="9">
        <v>214</v>
      </c>
      <c r="F222" s="10"/>
      <c r="G222" s="11"/>
      <c r="H222" s="23"/>
      <c r="I222" s="23"/>
      <c r="J222" s="23"/>
      <c r="K222" s="23"/>
      <c r="L222" s="23"/>
      <c r="M222" s="25">
        <f t="shared" si="3"/>
        <v>0</v>
      </c>
    </row>
    <row r="223" spans="5:13">
      <c r="E223" s="9">
        <v>215</v>
      </c>
      <c r="F223" s="10"/>
      <c r="G223" s="11"/>
      <c r="H223" s="23"/>
      <c r="I223" s="23"/>
      <c r="J223" s="23"/>
      <c r="K223" s="23"/>
      <c r="L223" s="23"/>
      <c r="M223" s="25">
        <f t="shared" si="3"/>
        <v>0</v>
      </c>
    </row>
    <row r="224" spans="5:13">
      <c r="E224" s="9">
        <v>216</v>
      </c>
      <c r="F224" s="10"/>
      <c r="G224" s="11"/>
      <c r="H224" s="23"/>
      <c r="I224" s="23"/>
      <c r="J224" s="23"/>
      <c r="K224" s="23"/>
      <c r="L224" s="23"/>
      <c r="M224" s="25">
        <f t="shared" si="3"/>
        <v>0</v>
      </c>
    </row>
    <row r="225" spans="5:13">
      <c r="E225" s="9">
        <v>217</v>
      </c>
      <c r="F225" s="10"/>
      <c r="G225" s="11"/>
      <c r="H225" s="23"/>
      <c r="I225" s="23"/>
      <c r="J225" s="23"/>
      <c r="K225" s="23"/>
      <c r="L225" s="23"/>
      <c r="M225" s="25">
        <f t="shared" si="3"/>
        <v>0</v>
      </c>
    </row>
    <row r="226" spans="5:13">
      <c r="E226" s="9">
        <v>218</v>
      </c>
      <c r="F226" s="10"/>
      <c r="G226" s="11"/>
      <c r="H226" s="23"/>
      <c r="I226" s="23"/>
      <c r="J226" s="23"/>
      <c r="K226" s="23"/>
      <c r="L226" s="23"/>
      <c r="M226" s="25">
        <f t="shared" si="3"/>
        <v>0</v>
      </c>
    </row>
    <row r="227" spans="5:13">
      <c r="E227" s="9">
        <v>219</v>
      </c>
      <c r="F227" s="10"/>
      <c r="G227" s="11"/>
      <c r="H227" s="23"/>
      <c r="I227" s="23"/>
      <c r="J227" s="23"/>
      <c r="K227" s="23"/>
      <c r="L227" s="23"/>
      <c r="M227" s="25">
        <f t="shared" si="3"/>
        <v>0</v>
      </c>
    </row>
    <row r="228" spans="5:13">
      <c r="E228" s="9">
        <v>220</v>
      </c>
      <c r="F228" s="10"/>
      <c r="G228" s="11"/>
      <c r="H228" s="23"/>
      <c r="I228" s="23"/>
      <c r="J228" s="23"/>
      <c r="K228" s="23"/>
      <c r="L228" s="23"/>
      <c r="M228" s="25">
        <f t="shared" si="3"/>
        <v>0</v>
      </c>
    </row>
    <row r="229" spans="5:13">
      <c r="E229" s="9">
        <v>221</v>
      </c>
      <c r="F229" s="10"/>
      <c r="G229" s="11"/>
      <c r="H229" s="23"/>
      <c r="I229" s="23"/>
      <c r="J229" s="23"/>
      <c r="K229" s="23"/>
      <c r="L229" s="23"/>
      <c r="M229" s="25">
        <f t="shared" si="3"/>
        <v>0</v>
      </c>
    </row>
    <row r="230" spans="5:13">
      <c r="E230" s="9">
        <v>222</v>
      </c>
      <c r="F230" s="10"/>
      <c r="G230" s="11"/>
      <c r="H230" s="23"/>
      <c r="I230" s="23"/>
      <c r="J230" s="23"/>
      <c r="K230" s="23"/>
      <c r="L230" s="23"/>
      <c r="M230" s="25">
        <f t="shared" si="3"/>
        <v>0</v>
      </c>
    </row>
    <row r="231" spans="5:13">
      <c r="E231" s="9">
        <v>223</v>
      </c>
      <c r="F231" s="10"/>
      <c r="G231" s="11"/>
      <c r="H231" s="23"/>
      <c r="I231" s="23"/>
      <c r="J231" s="23"/>
      <c r="K231" s="23"/>
      <c r="L231" s="23"/>
      <c r="M231" s="25">
        <f t="shared" si="3"/>
        <v>0</v>
      </c>
    </row>
    <row r="232" spans="5:13">
      <c r="E232" s="9">
        <v>224</v>
      </c>
      <c r="F232" s="10"/>
      <c r="G232" s="11"/>
      <c r="H232" s="23"/>
      <c r="I232" s="23"/>
      <c r="J232" s="23"/>
      <c r="K232" s="23"/>
      <c r="L232" s="23"/>
      <c r="M232" s="25">
        <f t="shared" si="3"/>
        <v>0</v>
      </c>
    </row>
    <row r="233" spans="5:13">
      <c r="E233" s="9">
        <v>225</v>
      </c>
      <c r="F233" s="10"/>
      <c r="G233" s="11"/>
      <c r="H233" s="23"/>
      <c r="I233" s="23"/>
      <c r="J233" s="23"/>
      <c r="K233" s="23"/>
      <c r="L233" s="23"/>
      <c r="M233" s="25">
        <f t="shared" si="3"/>
        <v>0</v>
      </c>
    </row>
    <row r="234" spans="5:13">
      <c r="E234" s="9">
        <v>226</v>
      </c>
      <c r="F234" s="10"/>
      <c r="G234" s="11"/>
      <c r="H234" s="23"/>
      <c r="I234" s="23"/>
      <c r="J234" s="23"/>
      <c r="K234" s="23"/>
      <c r="L234" s="23"/>
      <c r="M234" s="25">
        <f t="shared" si="3"/>
        <v>0</v>
      </c>
    </row>
    <row r="235" spans="5:13">
      <c r="E235" s="9">
        <v>227</v>
      </c>
      <c r="F235" s="10"/>
      <c r="G235" s="11"/>
      <c r="H235" s="23"/>
      <c r="I235" s="23"/>
      <c r="J235" s="23"/>
      <c r="K235" s="23"/>
      <c r="L235" s="23"/>
      <c r="M235" s="25">
        <f t="shared" si="3"/>
        <v>0</v>
      </c>
    </row>
    <row r="236" spans="5:13">
      <c r="E236" s="9">
        <v>228</v>
      </c>
      <c r="F236" s="10"/>
      <c r="G236" s="11"/>
      <c r="H236" s="23"/>
      <c r="I236" s="23"/>
      <c r="J236" s="23"/>
      <c r="K236" s="23"/>
      <c r="L236" s="23"/>
      <c r="M236" s="25">
        <f t="shared" si="3"/>
        <v>0</v>
      </c>
    </row>
    <row r="237" spans="5:13">
      <c r="E237" s="9">
        <v>229</v>
      </c>
      <c r="F237" s="10"/>
      <c r="G237" s="11"/>
      <c r="H237" s="23"/>
      <c r="I237" s="23"/>
      <c r="J237" s="23"/>
      <c r="K237" s="23"/>
      <c r="L237" s="23"/>
      <c r="M237" s="25">
        <f t="shared" si="3"/>
        <v>0</v>
      </c>
    </row>
    <row r="238" spans="5:13">
      <c r="E238" s="9">
        <v>230</v>
      </c>
      <c r="F238" s="10"/>
      <c r="G238" s="11"/>
      <c r="H238" s="23"/>
      <c r="I238" s="23"/>
      <c r="J238" s="23"/>
      <c r="K238" s="23"/>
      <c r="L238" s="23"/>
      <c r="M238" s="25">
        <f t="shared" si="3"/>
        <v>0</v>
      </c>
    </row>
    <row r="239" spans="5:13">
      <c r="E239" s="9">
        <v>231</v>
      </c>
      <c r="F239" s="10"/>
      <c r="G239" s="11"/>
      <c r="H239" s="23"/>
      <c r="I239" s="23"/>
      <c r="J239" s="23"/>
      <c r="K239" s="23"/>
      <c r="L239" s="23"/>
      <c r="M239" s="25">
        <f t="shared" si="3"/>
        <v>0</v>
      </c>
    </row>
    <row r="240" spans="5:13">
      <c r="E240" s="9">
        <v>233</v>
      </c>
      <c r="F240" s="10"/>
      <c r="G240" s="11"/>
      <c r="H240" s="23"/>
      <c r="I240" s="23"/>
      <c r="J240" s="23"/>
      <c r="K240" s="23"/>
      <c r="L240" s="23"/>
      <c r="M240" s="25">
        <f t="shared" si="3"/>
        <v>0</v>
      </c>
    </row>
    <row r="241" spans="5:13">
      <c r="E241" s="9">
        <v>234</v>
      </c>
      <c r="F241" s="10"/>
      <c r="G241" s="11"/>
      <c r="H241" s="23"/>
      <c r="I241" s="23"/>
      <c r="J241" s="23"/>
      <c r="K241" s="23"/>
      <c r="L241" s="23"/>
      <c r="M241" s="25">
        <f t="shared" si="3"/>
        <v>0</v>
      </c>
    </row>
    <row r="242" spans="5:13">
      <c r="E242" s="9">
        <v>235</v>
      </c>
      <c r="F242" s="10"/>
      <c r="G242" s="11"/>
      <c r="H242" s="23"/>
      <c r="I242" s="23"/>
      <c r="J242" s="23"/>
      <c r="K242" s="23"/>
      <c r="L242" s="23"/>
      <c r="M242" s="25">
        <f t="shared" si="3"/>
        <v>0</v>
      </c>
    </row>
    <row r="243" spans="5:13">
      <c r="E243" s="9">
        <v>236</v>
      </c>
      <c r="F243" s="10"/>
      <c r="G243" s="11"/>
      <c r="H243" s="23"/>
      <c r="I243" s="23"/>
      <c r="J243" s="23"/>
      <c r="K243" s="23"/>
      <c r="L243" s="23"/>
      <c r="M243" s="25">
        <f t="shared" si="3"/>
        <v>0</v>
      </c>
    </row>
    <row r="244" spans="5:13">
      <c r="E244" s="9">
        <v>237</v>
      </c>
      <c r="F244" s="10"/>
      <c r="G244" s="11"/>
      <c r="H244" s="23"/>
      <c r="I244" s="23"/>
      <c r="J244" s="23"/>
      <c r="K244" s="23"/>
      <c r="L244" s="23"/>
      <c r="M244" s="25">
        <f t="shared" si="3"/>
        <v>0</v>
      </c>
    </row>
    <row r="245" spans="5:13">
      <c r="E245" s="9">
        <v>238</v>
      </c>
      <c r="F245" s="10"/>
      <c r="G245" s="11"/>
      <c r="H245" s="23"/>
      <c r="I245" s="23"/>
      <c r="J245" s="23"/>
      <c r="K245" s="23"/>
      <c r="L245" s="23"/>
      <c r="M245" s="25">
        <f t="shared" si="3"/>
        <v>0</v>
      </c>
    </row>
    <row r="246" spans="5:13">
      <c r="E246" s="9">
        <v>239</v>
      </c>
      <c r="F246" s="10"/>
      <c r="G246" s="11"/>
      <c r="H246" s="23"/>
      <c r="I246" s="23"/>
      <c r="J246" s="23"/>
      <c r="K246" s="23"/>
      <c r="L246" s="23"/>
      <c r="M246" s="25">
        <f t="shared" si="3"/>
        <v>0</v>
      </c>
    </row>
    <row r="247" spans="5:13">
      <c r="E247" s="9">
        <v>240</v>
      </c>
      <c r="F247" s="10"/>
      <c r="G247" s="11"/>
      <c r="H247" s="23"/>
      <c r="I247" s="23"/>
      <c r="J247" s="23"/>
      <c r="K247" s="23"/>
      <c r="L247" s="23"/>
      <c r="M247" s="25">
        <f t="shared" si="3"/>
        <v>0</v>
      </c>
    </row>
    <row r="248" spans="5:13">
      <c r="E248" s="9">
        <v>241</v>
      </c>
      <c r="F248" s="10"/>
      <c r="G248" s="11"/>
      <c r="H248" s="23"/>
      <c r="I248" s="23"/>
      <c r="J248" s="23"/>
      <c r="K248" s="23"/>
      <c r="L248" s="23"/>
      <c r="M248" s="25">
        <f t="shared" si="3"/>
        <v>0</v>
      </c>
    </row>
    <row r="249" spans="5:13">
      <c r="E249" s="9">
        <v>242</v>
      </c>
      <c r="F249" s="10"/>
      <c r="G249" s="11"/>
      <c r="H249" s="23"/>
      <c r="I249" s="23"/>
      <c r="J249" s="23"/>
      <c r="K249" s="23"/>
      <c r="L249" s="23"/>
      <c r="M249" s="25">
        <f t="shared" si="3"/>
        <v>0</v>
      </c>
    </row>
    <row r="250" spans="5:13">
      <c r="E250" s="9">
        <v>243</v>
      </c>
      <c r="F250" s="10"/>
      <c r="G250" s="11"/>
      <c r="H250" s="23"/>
      <c r="I250" s="23"/>
      <c r="J250" s="23"/>
      <c r="K250" s="23"/>
      <c r="L250" s="23"/>
      <c r="M250" s="25">
        <f t="shared" si="3"/>
        <v>0</v>
      </c>
    </row>
    <row r="251" spans="5:13">
      <c r="E251" s="9">
        <v>244</v>
      </c>
      <c r="F251" s="10"/>
      <c r="G251" s="11"/>
      <c r="H251" s="23"/>
      <c r="I251" s="23"/>
      <c r="J251" s="23"/>
      <c r="K251" s="23"/>
      <c r="L251" s="23"/>
      <c r="M251" s="25">
        <f t="shared" si="3"/>
        <v>0</v>
      </c>
    </row>
    <row r="252" spans="5:13">
      <c r="E252" s="9">
        <v>245</v>
      </c>
      <c r="F252" s="10"/>
      <c r="G252" s="11"/>
      <c r="H252" s="23"/>
      <c r="I252" s="23"/>
      <c r="J252" s="23"/>
      <c r="K252" s="23"/>
      <c r="L252" s="23"/>
      <c r="M252" s="25">
        <f t="shared" si="3"/>
        <v>0</v>
      </c>
    </row>
    <row r="253" spans="5:13">
      <c r="E253" s="9">
        <v>246</v>
      </c>
      <c r="F253" s="10"/>
      <c r="G253" s="11"/>
      <c r="H253" s="23"/>
      <c r="I253" s="23"/>
      <c r="J253" s="23"/>
      <c r="K253" s="23"/>
      <c r="L253" s="23"/>
      <c r="M253" s="25">
        <f t="shared" si="3"/>
        <v>0</v>
      </c>
    </row>
    <row r="254" spans="5:13">
      <c r="E254" s="9">
        <v>247</v>
      </c>
      <c r="F254" s="10"/>
      <c r="G254" s="11"/>
      <c r="H254" s="23"/>
      <c r="I254" s="23"/>
      <c r="J254" s="23"/>
      <c r="K254" s="23"/>
      <c r="L254" s="23"/>
      <c r="M254" s="25">
        <f t="shared" si="3"/>
        <v>0</v>
      </c>
    </row>
    <row r="255" spans="5:13">
      <c r="E255" s="9">
        <v>248</v>
      </c>
      <c r="F255" s="10"/>
      <c r="G255" s="11"/>
      <c r="H255" s="23"/>
      <c r="I255" s="23"/>
      <c r="J255" s="23"/>
      <c r="K255" s="23"/>
      <c r="L255" s="23"/>
      <c r="M255" s="25">
        <f>(H255+I255+J255+K255+L255)</f>
        <v>0</v>
      </c>
    </row>
    <row r="256" spans="5:13">
      <c r="E256" s="9">
        <v>249</v>
      </c>
      <c r="F256" s="10"/>
      <c r="G256" s="11"/>
      <c r="H256" s="23"/>
      <c r="I256" s="23"/>
      <c r="J256" s="23"/>
      <c r="K256" s="23"/>
      <c r="L256" s="23"/>
      <c r="M256" s="25">
        <f>(H256+I256+J256+K256+L256)</f>
        <v>0</v>
      </c>
    </row>
    <row r="257" spans="5:13">
      <c r="E257" s="9">
        <v>250</v>
      </c>
      <c r="F257" s="10"/>
      <c r="G257" s="11"/>
      <c r="H257" s="23"/>
      <c r="I257" s="23"/>
      <c r="J257" s="23"/>
      <c r="K257" s="23"/>
      <c r="L257" s="23"/>
      <c r="M257" s="25">
        <f t="shared" si="3"/>
        <v>0</v>
      </c>
    </row>
    <row r="258" spans="5:13">
      <c r="F258" s="34" t="s">
        <v>7</v>
      </c>
      <c r="G258" s="34"/>
      <c r="H258" s="13">
        <f>SUM(H11:H257)</f>
        <v>0</v>
      </c>
      <c r="I258" s="13">
        <f t="shared" ref="I258:L258" si="4">SUM(I11:I257)</f>
        <v>0</v>
      </c>
      <c r="J258" s="13">
        <f t="shared" si="4"/>
        <v>0</v>
      </c>
      <c r="K258" s="13">
        <f t="shared" si="4"/>
        <v>0</v>
      </c>
      <c r="L258" s="13">
        <f t="shared" si="4"/>
        <v>0</v>
      </c>
    </row>
    <row r="259" spans="5:13">
      <c r="F259" s="35" t="s">
        <v>8</v>
      </c>
      <c r="G259" s="35"/>
      <c r="H259" s="14" t="e">
        <f>(H258*100/H10)</f>
        <v>#DIV/0!</v>
      </c>
      <c r="I259" s="14" t="e">
        <f>(I258*100/I10)</f>
        <v>#DIV/0!</v>
      </c>
      <c r="J259" s="14" t="e">
        <f>(J258*100/J10)</f>
        <v>#DIV/0!</v>
      </c>
      <c r="K259" s="14" t="e">
        <f>(K258*100/K10)</f>
        <v>#DIV/0!</v>
      </c>
      <c r="L259" s="14" t="e">
        <f>(L258*100/L10)</f>
        <v>#DIV/0!</v>
      </c>
    </row>
    <row r="260" spans="5:13" ht="15.75" thickBot="1"/>
    <row r="261" spans="5:13" ht="16.5" thickBot="1">
      <c r="F261" s="36" t="s">
        <v>9</v>
      </c>
      <c r="G261" s="36"/>
      <c r="H261" s="12" t="e">
        <f>(H259+I259+J259+K259+L259)/H6</f>
        <v>#DIV/0!</v>
      </c>
    </row>
  </sheetData>
  <mergeCells count="11">
    <mergeCell ref="F258:G258"/>
    <mergeCell ref="F259:G259"/>
    <mergeCell ref="F261:G261"/>
    <mergeCell ref="E2:M3"/>
    <mergeCell ref="E4:K5"/>
    <mergeCell ref="L4:M4"/>
    <mergeCell ref="E6:G6"/>
    <mergeCell ref="I6:M7"/>
    <mergeCell ref="E7:G9"/>
    <mergeCell ref="H8:L8"/>
    <mergeCell ref="M9:M10"/>
  </mergeCells>
  <dataValidations count="1">
    <dataValidation type="list" allowBlank="1" showInputMessage="1" showErrorMessage="1" sqref="H11:L257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July 2026</vt:lpstr>
      <vt:lpstr>August 2026</vt:lpstr>
      <vt:lpstr>September 2026</vt:lpstr>
      <vt:lpstr>October 2026</vt:lpstr>
      <vt:lpstr>November 2026</vt:lpstr>
      <vt:lpstr>December 2026</vt:lpstr>
      <vt:lpstr>January2027</vt:lpstr>
      <vt:lpstr>Febuary 2027</vt:lpstr>
      <vt:lpstr>March 2027</vt:lpstr>
      <vt:lpstr>April 2027</vt:lpstr>
      <vt:lpstr>May 2027</vt:lpstr>
      <vt:lpstr>June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Girma Dejene</dc:creator>
  <cp:lastModifiedBy>Windows User</cp:lastModifiedBy>
  <dcterms:created xsi:type="dcterms:W3CDTF">2023-02-07T13:52:51Z</dcterms:created>
  <dcterms:modified xsi:type="dcterms:W3CDTF">2026-08-06T07:42:18Z</dcterms:modified>
</cp:coreProperties>
</file>